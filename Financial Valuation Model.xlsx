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sk29\Desktop\Projects\"/>
    </mc:Choice>
  </mc:AlternateContent>
  <xr:revisionPtr revIDLastSave="0" documentId="13_ncr:1_{483A406E-FFD8-417F-B8F2-150586D806C5}" xr6:coauthVersionLast="47" xr6:coauthVersionMax="47" xr10:uidLastSave="{00000000-0000-0000-0000-000000000000}"/>
  <bookViews>
    <workbookView xWindow="-110" yWindow="-110" windowWidth="19420" windowHeight="11500" tabRatio="840" xr2:uid="{00000000-000D-0000-FFFF-FFFF00000000}"/>
  </bookViews>
  <sheets>
    <sheet name="Assumptions" sheetId="1" r:id="rId1"/>
    <sheet name="COMPS" sheetId="7" r:id="rId2"/>
    <sheet name="Manufacturing" sheetId="2" r:id="rId3"/>
    <sheet name="Service" sheetId="3" r:id="rId4"/>
    <sheet name="Consolidated P&amp;L" sheetId="4" r:id="rId5"/>
    <sheet name="Consolidated BS" sheetId="5" r:id="rId6"/>
    <sheet name="Consolidated SCF" sheetId="6" r:id="rId7"/>
    <sheet name="DCF Growth" sheetId="8" r:id="rId8"/>
    <sheet name="DCF Multiple" sheetId="9" r:id="rId9"/>
    <sheet name="Valuation" sheetId="10" r:id="rId10"/>
  </sheets>
  <definedNames>
    <definedName name="_xlnm._FilterDatabase" localSheetId="8" hidden="1">'DCF Multiple'!#REF!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" i="9" l="1"/>
  <c r="J25" i="9"/>
  <c r="J26" i="9"/>
  <c r="J27" i="9"/>
  <c r="J28" i="9"/>
  <c r="J29" i="9"/>
  <c r="J30" i="9"/>
  <c r="J31" i="9"/>
  <c r="J34" i="9"/>
  <c r="J35" i="9"/>
  <c r="S30" i="8"/>
  <c r="D7" i="8"/>
  <c r="H19" i="4" l="1"/>
  <c r="H7" i="10" l="1"/>
  <c r="G7" i="10" s="1"/>
  <c r="P42" i="9"/>
  <c r="P43" i="9" s="1"/>
  <c r="P44" i="9" s="1"/>
  <c r="P40" i="9"/>
  <c r="P39" i="9" s="1"/>
  <c r="P38" i="9" s="1"/>
  <c r="X37" i="9"/>
  <c r="W37" i="9"/>
  <c r="V37" i="9"/>
  <c r="U37" i="9"/>
  <c r="T37" i="9"/>
  <c r="S37" i="9"/>
  <c r="R37" i="9"/>
  <c r="Q37" i="9"/>
  <c r="D14" i="9"/>
  <c r="D15" i="9"/>
  <c r="C40" i="8"/>
  <c r="C39" i="8" s="1"/>
  <c r="AC8" i="8"/>
  <c r="AC6" i="8"/>
  <c r="C42" i="8"/>
  <c r="C43" i="8" s="1"/>
  <c r="G38" i="8"/>
  <c r="H38" i="8" s="1"/>
  <c r="E38" i="8"/>
  <c r="D38" i="8" s="1"/>
  <c r="I7" i="10" l="1"/>
  <c r="U8" i="8"/>
  <c r="U8" i="9" s="1"/>
  <c r="D8" i="8"/>
  <c r="D8" i="9" s="1"/>
  <c r="E8" i="8"/>
  <c r="E8" i="9" s="1"/>
  <c r="F8" i="8"/>
  <c r="F8" i="9" s="1"/>
  <c r="G8" i="8"/>
  <c r="G8" i="9" s="1"/>
  <c r="H8" i="8"/>
  <c r="H8" i="9" s="1"/>
  <c r="I8" i="8"/>
  <c r="I8" i="9" s="1"/>
  <c r="J8" i="8"/>
  <c r="J8" i="9" s="1"/>
  <c r="K8" i="8"/>
  <c r="K8" i="9" s="1"/>
  <c r="L8" i="8"/>
  <c r="L8" i="9" s="1"/>
  <c r="M8" i="8"/>
  <c r="M8" i="9" s="1"/>
  <c r="N8" i="8"/>
  <c r="N8" i="9" s="1"/>
  <c r="O8" i="8"/>
  <c r="O8" i="9" s="1"/>
  <c r="P8" i="8"/>
  <c r="P8" i="9" s="1"/>
  <c r="Q8" i="8"/>
  <c r="Q8" i="9" s="1"/>
  <c r="R8" i="8"/>
  <c r="R8" i="9" s="1"/>
  <c r="S8" i="8"/>
  <c r="S8" i="9" s="1"/>
  <c r="T8" i="8"/>
  <c r="T8" i="9" s="1"/>
  <c r="C8" i="8"/>
  <c r="C8" i="9" s="1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F31" i="5"/>
  <c r="F14" i="6"/>
  <c r="D7" i="9" s="1"/>
  <c r="G14" i="6"/>
  <c r="E7" i="8" s="1"/>
  <c r="E7" i="9" s="1"/>
  <c r="H14" i="6"/>
  <c r="I14" i="6"/>
  <c r="J14" i="6"/>
  <c r="K14" i="6"/>
  <c r="L14" i="6"/>
  <c r="M14" i="6"/>
  <c r="N14" i="6"/>
  <c r="O14" i="6"/>
  <c r="M7" i="8" s="1"/>
  <c r="M7" i="9" s="1"/>
  <c r="P14" i="6"/>
  <c r="N7" i="8" s="1"/>
  <c r="N7" i="9" s="1"/>
  <c r="Q14" i="6"/>
  <c r="O7" i="8" s="1"/>
  <c r="O7" i="9" s="1"/>
  <c r="R14" i="6"/>
  <c r="P7" i="8" s="1"/>
  <c r="P7" i="9" s="1"/>
  <c r="S14" i="6"/>
  <c r="Q7" i="8" s="1"/>
  <c r="Q7" i="9" s="1"/>
  <c r="T14" i="6"/>
  <c r="R7" i="8" s="1"/>
  <c r="R7" i="9" s="1"/>
  <c r="U14" i="6"/>
  <c r="S7" i="8" s="1"/>
  <c r="S7" i="9" s="1"/>
  <c r="V14" i="6"/>
  <c r="T7" i="8" s="1"/>
  <c r="T7" i="9" s="1"/>
  <c r="W14" i="6"/>
  <c r="U7" i="8" s="1"/>
  <c r="U7" i="9" s="1"/>
  <c r="E14" i="6"/>
  <c r="C7" i="8" s="1"/>
  <c r="C7" i="9" s="1"/>
  <c r="R27" i="9"/>
  <c r="O22" i="8"/>
  <c r="K6" i="7"/>
  <c r="F7" i="8"/>
  <c r="F7" i="9" s="1"/>
  <c r="G7" i="8"/>
  <c r="G7" i="9" s="1"/>
  <c r="H7" i="8"/>
  <c r="H7" i="9" s="1"/>
  <c r="I7" i="8"/>
  <c r="I7" i="9" s="1"/>
  <c r="J7" i="8"/>
  <c r="J7" i="9" s="1"/>
  <c r="K7" i="8"/>
  <c r="K7" i="9" s="1"/>
  <c r="L7" i="8"/>
  <c r="L7" i="9" s="1"/>
  <c r="W33" i="9"/>
  <c r="W32" i="9"/>
  <c r="W31" i="9"/>
  <c r="W30" i="9"/>
  <c r="W29" i="9"/>
  <c r="W28" i="9"/>
  <c r="R26" i="9"/>
  <c r="W27" i="9" s="1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E25" i="6"/>
  <c r="R33" i="9"/>
  <c r="R32" i="9"/>
  <c r="R31" i="9"/>
  <c r="R30" i="9"/>
  <c r="R29" i="9"/>
  <c r="R28" i="9"/>
  <c r="E8" i="6"/>
  <c r="W8" i="6"/>
  <c r="W10" i="6"/>
  <c r="W9" i="6"/>
  <c r="W26" i="9" l="1"/>
  <c r="AA8" i="9"/>
  <c r="C6" i="8"/>
  <c r="C6" i="9" s="1"/>
  <c r="C5" i="8"/>
  <c r="C5" i="9" s="1"/>
  <c r="M26" i="9"/>
  <c r="N26" i="9" s="1"/>
  <c r="M27" i="9"/>
  <c r="N27" i="9" s="1"/>
  <c r="M28" i="9"/>
  <c r="N28" i="9" s="1"/>
  <c r="M29" i="9"/>
  <c r="N29" i="9" s="1"/>
  <c r="M30" i="9"/>
  <c r="N30" i="9" s="1"/>
  <c r="M31" i="9"/>
  <c r="N31" i="9" s="1"/>
  <c r="M34" i="9"/>
  <c r="M35" i="9"/>
  <c r="M25" i="9"/>
  <c r="N25" i="9" s="1"/>
  <c r="R4" i="4"/>
  <c r="Y8" i="8"/>
  <c r="W8" i="8"/>
  <c r="X8" i="8"/>
  <c r="D6" i="8"/>
  <c r="D6" i="9" s="1"/>
  <c r="E6" i="8"/>
  <c r="E6" i="9" s="1"/>
  <c r="F6" i="8"/>
  <c r="F6" i="9" s="1"/>
  <c r="G6" i="8"/>
  <c r="G6" i="9" s="1"/>
  <c r="H6" i="8"/>
  <c r="H6" i="9" s="1"/>
  <c r="I6" i="8"/>
  <c r="I6" i="9" s="1"/>
  <c r="J6" i="8"/>
  <c r="J6" i="9" s="1"/>
  <c r="K6" i="8"/>
  <c r="K6" i="9" s="1"/>
  <c r="L6" i="8"/>
  <c r="L6" i="9" s="1"/>
  <c r="M6" i="8"/>
  <c r="M6" i="9" s="1"/>
  <c r="N6" i="8"/>
  <c r="N6" i="9" s="1"/>
  <c r="O6" i="8"/>
  <c r="O6" i="9" s="1"/>
  <c r="P6" i="8"/>
  <c r="P6" i="9" s="1"/>
  <c r="Q6" i="8"/>
  <c r="Q6" i="9" s="1"/>
  <c r="R6" i="8"/>
  <c r="R6" i="9" s="1"/>
  <c r="S6" i="8"/>
  <c r="S6" i="9" s="1"/>
  <c r="T6" i="8"/>
  <c r="T6" i="9" s="1"/>
  <c r="U6" i="8"/>
  <c r="U6" i="9" s="1"/>
  <c r="W6" i="8"/>
  <c r="D5" i="8"/>
  <c r="D5" i="9" s="1"/>
  <c r="E5" i="8"/>
  <c r="F5" i="8"/>
  <c r="G5" i="8"/>
  <c r="G5" i="9" s="1"/>
  <c r="H5" i="8"/>
  <c r="H5" i="9" s="1"/>
  <c r="I5" i="8"/>
  <c r="J5" i="8"/>
  <c r="K5" i="8"/>
  <c r="L5" i="8"/>
  <c r="N5" i="8"/>
  <c r="N5" i="9" s="1"/>
  <c r="O5" i="8"/>
  <c r="O5" i="9" s="1"/>
  <c r="P5" i="8"/>
  <c r="Q5" i="8"/>
  <c r="R5" i="8"/>
  <c r="S5" i="8"/>
  <c r="S5" i="9" s="1"/>
  <c r="T5" i="8"/>
  <c r="U5" i="8"/>
  <c r="Z6" i="8"/>
  <c r="X6" i="8"/>
  <c r="J14" i="8"/>
  <c r="J13" i="8"/>
  <c r="H13" i="8"/>
  <c r="F14" i="8"/>
  <c r="O23" i="8"/>
  <c r="O24" i="8"/>
  <c r="O25" i="8"/>
  <c r="O26" i="8"/>
  <c r="O27" i="8"/>
  <c r="O28" i="8"/>
  <c r="O31" i="8"/>
  <c r="O32" i="8"/>
  <c r="S25" i="8" s="1"/>
  <c r="F9" i="6"/>
  <c r="G9" i="6"/>
  <c r="H9" i="6"/>
  <c r="I9" i="6"/>
  <c r="J9" i="6"/>
  <c r="K9" i="6"/>
  <c r="L9" i="6"/>
  <c r="M9" i="6"/>
  <c r="M11" i="6" s="1"/>
  <c r="N9" i="6"/>
  <c r="N11" i="6" s="1"/>
  <c r="O9" i="6"/>
  <c r="P9" i="6"/>
  <c r="Q9" i="6"/>
  <c r="R9" i="6"/>
  <c r="S9" i="6"/>
  <c r="T9" i="6"/>
  <c r="U9" i="6"/>
  <c r="V9" i="6"/>
  <c r="E9" i="6"/>
  <c r="F8" i="6"/>
  <c r="G8" i="6"/>
  <c r="H8" i="6"/>
  <c r="I8" i="6"/>
  <c r="I11" i="6" s="1"/>
  <c r="I24" i="6" s="1"/>
  <c r="I26" i="6" s="1"/>
  <c r="J8" i="6"/>
  <c r="J11" i="6" s="1"/>
  <c r="K8" i="6"/>
  <c r="L8" i="6"/>
  <c r="L11" i="6" s="1"/>
  <c r="M8" i="6"/>
  <c r="N8" i="6"/>
  <c r="O8" i="6"/>
  <c r="P8" i="6"/>
  <c r="Q8" i="6"/>
  <c r="R8" i="6"/>
  <c r="S8" i="6"/>
  <c r="T8" i="6"/>
  <c r="U8" i="6"/>
  <c r="V8" i="6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H17" i="5"/>
  <c r="H19" i="5"/>
  <c r="H22" i="5"/>
  <c r="H29" i="5"/>
  <c r="H18" i="5"/>
  <c r="H6" i="5"/>
  <c r="H10" i="5"/>
  <c r="H13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H26" i="5"/>
  <c r="H27" i="5"/>
  <c r="G21" i="5"/>
  <c r="I4" i="4"/>
  <c r="J4" i="4"/>
  <c r="K4" i="4"/>
  <c r="L4" i="4"/>
  <c r="M4" i="4"/>
  <c r="M6" i="4"/>
  <c r="N4" i="4"/>
  <c r="N6" i="4"/>
  <c r="O4" i="4"/>
  <c r="O6" i="4"/>
  <c r="P4" i="4"/>
  <c r="P6" i="4"/>
  <c r="Q4" i="4"/>
  <c r="S4" i="4"/>
  <c r="T4" i="4"/>
  <c r="U4" i="4"/>
  <c r="U6" i="4"/>
  <c r="V4" i="4"/>
  <c r="V6" i="4"/>
  <c r="W4" i="4"/>
  <c r="W6" i="4"/>
  <c r="X4" i="4"/>
  <c r="X6" i="4"/>
  <c r="Y4" i="4"/>
  <c r="Z4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I6" i="4"/>
  <c r="J6" i="4"/>
  <c r="K6" i="4"/>
  <c r="L6" i="4"/>
  <c r="Q6" i="4"/>
  <c r="S6" i="4"/>
  <c r="T6" i="4"/>
  <c r="Y6" i="4"/>
  <c r="Z6" i="4"/>
  <c r="I9" i="4"/>
  <c r="I11" i="4"/>
  <c r="J9" i="4"/>
  <c r="J11" i="4"/>
  <c r="K9" i="4"/>
  <c r="L9" i="4"/>
  <c r="M9" i="4"/>
  <c r="N9" i="4"/>
  <c r="O9" i="4"/>
  <c r="O11" i="4"/>
  <c r="P9" i="4"/>
  <c r="P11" i="4"/>
  <c r="Q9" i="4"/>
  <c r="Q11" i="4"/>
  <c r="R9" i="4"/>
  <c r="R11" i="4"/>
  <c r="S9" i="4"/>
  <c r="T9" i="4"/>
  <c r="U9" i="4"/>
  <c r="V9" i="4"/>
  <c r="W9" i="4"/>
  <c r="W11" i="4"/>
  <c r="X9" i="4"/>
  <c r="X11" i="4"/>
  <c r="Y9" i="4"/>
  <c r="Y11" i="4"/>
  <c r="Z9" i="4"/>
  <c r="Z11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K11" i="4"/>
  <c r="L11" i="4"/>
  <c r="M11" i="4"/>
  <c r="N11" i="4"/>
  <c r="S11" i="4"/>
  <c r="T11" i="4"/>
  <c r="U11" i="4"/>
  <c r="V11" i="4"/>
  <c r="H15" i="4"/>
  <c r="H13" i="4"/>
  <c r="Z8" i="8"/>
  <c r="AA8" i="8"/>
  <c r="F13" i="8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G10" i="2"/>
  <c r="H10" i="4"/>
  <c r="G9" i="5"/>
  <c r="G8" i="5"/>
  <c r="G7" i="5"/>
  <c r="H12" i="3"/>
  <c r="G12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G17" i="3"/>
  <c r="G16" i="3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G20" i="2"/>
  <c r="G19" i="2"/>
  <c r="G18" i="2"/>
  <c r="H9" i="2"/>
  <c r="G9" i="2"/>
  <c r="G13" i="2"/>
  <c r="H13" i="2"/>
  <c r="K7" i="7"/>
  <c r="K8" i="7"/>
  <c r="K9" i="7"/>
  <c r="K10" i="7"/>
  <c r="K11" i="7"/>
  <c r="K12" i="7"/>
  <c r="K15" i="7"/>
  <c r="K16" i="7"/>
  <c r="I9" i="2"/>
  <c r="I13" i="2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E21" i="6"/>
  <c r="H4" i="3"/>
  <c r="H5" i="3"/>
  <c r="H6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H9" i="3"/>
  <c r="I9" i="3"/>
  <c r="I12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H20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H22" i="3"/>
  <c r="H23" i="3"/>
  <c r="I4" i="3"/>
  <c r="G14" i="3"/>
  <c r="G9" i="3"/>
  <c r="H4" i="2"/>
  <c r="I4" i="2"/>
  <c r="J4" i="2"/>
  <c r="K4" i="2"/>
  <c r="L4" i="2"/>
  <c r="M4" i="2"/>
  <c r="N4" i="2"/>
  <c r="N6" i="2"/>
  <c r="O4" i="2"/>
  <c r="O6" i="2"/>
  <c r="P4" i="2"/>
  <c r="Q4" i="2"/>
  <c r="R4" i="2"/>
  <c r="S4" i="2"/>
  <c r="T4" i="2"/>
  <c r="U4" i="2"/>
  <c r="V4" i="2"/>
  <c r="V6" i="2"/>
  <c r="W4" i="2"/>
  <c r="W6" i="2"/>
  <c r="X4" i="2"/>
  <c r="Y4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H6" i="2"/>
  <c r="I6" i="2"/>
  <c r="J6" i="2"/>
  <c r="K6" i="2"/>
  <c r="P6" i="2"/>
  <c r="Q6" i="2"/>
  <c r="X6" i="2"/>
  <c r="Y6" i="2"/>
  <c r="H8" i="2"/>
  <c r="H11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H15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F19" i="6"/>
  <c r="G19" i="6"/>
  <c r="H19" i="6"/>
  <c r="I19" i="6"/>
  <c r="J19" i="6"/>
  <c r="K19" i="6"/>
  <c r="K22" i="6" s="1"/>
  <c r="L19" i="6"/>
  <c r="M19" i="6"/>
  <c r="M22" i="6" s="1"/>
  <c r="N19" i="6"/>
  <c r="O19" i="6"/>
  <c r="P19" i="6"/>
  <c r="Q19" i="6"/>
  <c r="R19" i="6"/>
  <c r="S19" i="6"/>
  <c r="T19" i="6"/>
  <c r="U19" i="6"/>
  <c r="V19" i="6"/>
  <c r="W19" i="6"/>
  <c r="F20" i="6"/>
  <c r="F22" i="6" s="1"/>
  <c r="G20" i="6"/>
  <c r="G22" i="6" s="1"/>
  <c r="H20" i="6"/>
  <c r="H22" i="6" s="1"/>
  <c r="I20" i="6"/>
  <c r="J20" i="6"/>
  <c r="K20" i="6"/>
  <c r="L20" i="6"/>
  <c r="M20" i="6"/>
  <c r="N20" i="6"/>
  <c r="G15" i="2"/>
  <c r="G12" i="5"/>
  <c r="G14" i="2"/>
  <c r="E20" i="6"/>
  <c r="E19" i="6"/>
  <c r="E22" i="6" s="1"/>
  <c r="G25" i="5"/>
  <c r="H6" i="4"/>
  <c r="H9" i="4"/>
  <c r="H5" i="4"/>
  <c r="H4" i="4"/>
  <c r="G23" i="3"/>
  <c r="G22" i="3"/>
  <c r="G21" i="3"/>
  <c r="G20" i="3"/>
  <c r="G15" i="3"/>
  <c r="G4" i="3"/>
  <c r="G8" i="3"/>
  <c r="G6" i="3"/>
  <c r="G5" i="3"/>
  <c r="G17" i="2"/>
  <c r="G11" i="2"/>
  <c r="G8" i="2"/>
  <c r="G6" i="2"/>
  <c r="G5" i="2"/>
  <c r="G4" i="2"/>
  <c r="Z7" i="9"/>
  <c r="Y7" i="9"/>
  <c r="W6" i="9"/>
  <c r="X7" i="9"/>
  <c r="H10" i="3"/>
  <c r="H14" i="3"/>
  <c r="I14" i="3"/>
  <c r="J9" i="2"/>
  <c r="J11" i="2"/>
  <c r="I15" i="2"/>
  <c r="I11" i="2"/>
  <c r="E15" i="6"/>
  <c r="F15" i="6"/>
  <c r="I5" i="3"/>
  <c r="I20" i="3"/>
  <c r="G18" i="5"/>
  <c r="G10" i="3"/>
  <c r="U6" i="2"/>
  <c r="M6" i="2"/>
  <c r="T6" i="2"/>
  <c r="L6" i="2"/>
  <c r="S6" i="2"/>
  <c r="R6" i="2"/>
  <c r="O20" i="6"/>
  <c r="P20" i="6"/>
  <c r="G15" i="6"/>
  <c r="J9" i="3"/>
  <c r="F10" i="6"/>
  <c r="E10" i="6"/>
  <c r="F7" i="6"/>
  <c r="F11" i="6" s="1"/>
  <c r="G7" i="6"/>
  <c r="G11" i="6" s="1"/>
  <c r="J13" i="2"/>
  <c r="E7" i="6"/>
  <c r="E11" i="6" s="1"/>
  <c r="I6" i="3"/>
  <c r="I10" i="3"/>
  <c r="I22" i="3"/>
  <c r="I23" i="3"/>
  <c r="H11" i="4"/>
  <c r="Q20" i="6"/>
  <c r="J12" i="3"/>
  <c r="K9" i="3"/>
  <c r="G10" i="6"/>
  <c r="K9" i="2"/>
  <c r="J15" i="2"/>
  <c r="H15" i="6"/>
  <c r="J20" i="3"/>
  <c r="J4" i="3"/>
  <c r="J5" i="3"/>
  <c r="X45" i="1"/>
  <c r="W45" i="1"/>
  <c r="V45" i="1"/>
  <c r="U45" i="1"/>
  <c r="T45" i="1"/>
  <c r="S45" i="1"/>
  <c r="R45" i="1"/>
  <c r="Q45" i="1"/>
  <c r="P45" i="1"/>
  <c r="O45" i="1"/>
  <c r="N45" i="1"/>
  <c r="X21" i="1"/>
  <c r="W21" i="1"/>
  <c r="V21" i="1"/>
  <c r="U21" i="1"/>
  <c r="T21" i="1"/>
  <c r="S21" i="1"/>
  <c r="R21" i="1"/>
  <c r="Q21" i="1"/>
  <c r="P21" i="1"/>
  <c r="O21" i="1"/>
  <c r="N21" i="1"/>
  <c r="X18" i="1"/>
  <c r="W18" i="1"/>
  <c r="V18" i="1"/>
  <c r="U18" i="1"/>
  <c r="T18" i="1"/>
  <c r="S18" i="1"/>
  <c r="R18" i="1"/>
  <c r="Q18" i="1"/>
  <c r="P18" i="1"/>
  <c r="O18" i="1"/>
  <c r="N18" i="1"/>
  <c r="M45" i="1"/>
  <c r="L45" i="1"/>
  <c r="K45" i="1"/>
  <c r="J45" i="1"/>
  <c r="I45" i="1"/>
  <c r="H45" i="1"/>
  <c r="G45" i="1"/>
  <c r="F45" i="1"/>
  <c r="M21" i="1"/>
  <c r="L21" i="1"/>
  <c r="K21" i="1"/>
  <c r="J21" i="1"/>
  <c r="I21" i="1"/>
  <c r="H21" i="1"/>
  <c r="G21" i="1"/>
  <c r="F21" i="1"/>
  <c r="M18" i="1"/>
  <c r="L18" i="1"/>
  <c r="K18" i="1"/>
  <c r="J18" i="1"/>
  <c r="I18" i="1"/>
  <c r="H18" i="1"/>
  <c r="G18" i="1"/>
  <c r="F18" i="1"/>
  <c r="R20" i="6"/>
  <c r="K12" i="3"/>
  <c r="H7" i="6"/>
  <c r="H11" i="6" s="1"/>
  <c r="L9" i="3"/>
  <c r="K11" i="2"/>
  <c r="K13" i="2"/>
  <c r="J6" i="3"/>
  <c r="J10" i="3"/>
  <c r="J14" i="3"/>
  <c r="J22" i="3"/>
  <c r="J23" i="3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S20" i="6"/>
  <c r="L12" i="3"/>
  <c r="H10" i="6"/>
  <c r="L9" i="2"/>
  <c r="K15" i="2"/>
  <c r="I15" i="6"/>
  <c r="I7" i="6"/>
  <c r="K20" i="3"/>
  <c r="K4" i="3"/>
  <c r="K5" i="3"/>
  <c r="I23" i="7"/>
  <c r="T20" i="6"/>
  <c r="M9" i="3"/>
  <c r="L11" i="2"/>
  <c r="L13" i="2"/>
  <c r="K14" i="3"/>
  <c r="K6" i="3"/>
  <c r="K10" i="3"/>
  <c r="K22" i="3"/>
  <c r="K23" i="3"/>
  <c r="U20" i="6"/>
  <c r="M12" i="3"/>
  <c r="I10" i="6"/>
  <c r="M13" i="2"/>
  <c r="M9" i="2"/>
  <c r="L15" i="2"/>
  <c r="J15" i="6"/>
  <c r="J7" i="6"/>
  <c r="L4" i="3"/>
  <c r="L20" i="3"/>
  <c r="L5" i="3"/>
  <c r="V20" i="6"/>
  <c r="N9" i="3"/>
  <c r="N12" i="3"/>
  <c r="N9" i="2"/>
  <c r="M15" i="2"/>
  <c r="K15" i="6"/>
  <c r="M11" i="2"/>
  <c r="L23" i="3"/>
  <c r="L22" i="3"/>
  <c r="L6" i="3"/>
  <c r="L10" i="3"/>
  <c r="L14" i="3"/>
  <c r="W20" i="6"/>
  <c r="O9" i="3"/>
  <c r="O12" i="3"/>
  <c r="J10" i="6"/>
  <c r="N11" i="2"/>
  <c r="K7" i="6"/>
  <c r="K11" i="6" s="1"/>
  <c r="N13" i="2"/>
  <c r="M5" i="3"/>
  <c r="M4" i="3"/>
  <c r="M20" i="3"/>
  <c r="P9" i="3"/>
  <c r="O9" i="2"/>
  <c r="N15" i="2"/>
  <c r="L15" i="6"/>
  <c r="L7" i="6"/>
  <c r="M22" i="3"/>
  <c r="M23" i="3"/>
  <c r="M6" i="3"/>
  <c r="M10" i="3"/>
  <c r="M14" i="3"/>
  <c r="P12" i="3"/>
  <c r="K10" i="6"/>
  <c r="O11" i="2"/>
  <c r="O13" i="2"/>
  <c r="N5" i="3"/>
  <c r="N4" i="3"/>
  <c r="N20" i="3"/>
  <c r="Q9" i="3"/>
  <c r="Q12" i="3"/>
  <c r="P9" i="2"/>
  <c r="O15" i="2"/>
  <c r="M15" i="6"/>
  <c r="M7" i="6"/>
  <c r="N22" i="3"/>
  <c r="N23" i="3"/>
  <c r="N14" i="3"/>
  <c r="N6" i="3"/>
  <c r="N10" i="3"/>
  <c r="R9" i="3"/>
  <c r="R12" i="3"/>
  <c r="L10" i="6"/>
  <c r="P11" i="2"/>
  <c r="P13" i="2"/>
  <c r="O5" i="3"/>
  <c r="O4" i="3"/>
  <c r="O20" i="3"/>
  <c r="S9" i="3"/>
  <c r="S12" i="3"/>
  <c r="Q9" i="2"/>
  <c r="P15" i="2"/>
  <c r="N15" i="6"/>
  <c r="N7" i="6"/>
  <c r="O22" i="3"/>
  <c r="O23" i="3"/>
  <c r="O14" i="3"/>
  <c r="O6" i="3"/>
  <c r="O10" i="3"/>
  <c r="T9" i="3"/>
  <c r="T12" i="3"/>
  <c r="M10" i="6"/>
  <c r="Q11" i="2"/>
  <c r="Q13" i="2"/>
  <c r="P4" i="3"/>
  <c r="P5" i="3"/>
  <c r="P20" i="3"/>
  <c r="U9" i="3"/>
  <c r="U12" i="3"/>
  <c r="R9" i="2"/>
  <c r="Q15" i="2"/>
  <c r="O15" i="6"/>
  <c r="O7" i="6"/>
  <c r="P22" i="3"/>
  <c r="P23" i="3"/>
  <c r="P14" i="3"/>
  <c r="P6" i="3"/>
  <c r="P10" i="3"/>
  <c r="V9" i="3"/>
  <c r="V12" i="3"/>
  <c r="N10" i="6"/>
  <c r="R11" i="2"/>
  <c r="R13" i="2"/>
  <c r="Q4" i="3"/>
  <c r="Q5" i="3"/>
  <c r="Q20" i="3"/>
  <c r="W9" i="3"/>
  <c r="W12" i="3"/>
  <c r="S9" i="2"/>
  <c r="R15" i="2"/>
  <c r="P15" i="6"/>
  <c r="P7" i="6"/>
  <c r="Q22" i="3"/>
  <c r="Q23" i="3"/>
  <c r="Q14" i="3"/>
  <c r="Q6" i="3"/>
  <c r="Q10" i="3"/>
  <c r="X9" i="3"/>
  <c r="X12" i="3"/>
  <c r="O10" i="6"/>
  <c r="S11" i="2"/>
  <c r="S13" i="2"/>
  <c r="R20" i="3"/>
  <c r="R4" i="3"/>
  <c r="R5" i="3"/>
  <c r="Y9" i="3"/>
  <c r="Y12" i="3"/>
  <c r="T9" i="2"/>
  <c r="S15" i="2"/>
  <c r="Q15" i="6"/>
  <c r="Q7" i="6"/>
  <c r="R14" i="3"/>
  <c r="R6" i="3"/>
  <c r="R10" i="3"/>
  <c r="R22" i="3"/>
  <c r="R23" i="3"/>
  <c r="P10" i="6"/>
  <c r="T11" i="2"/>
  <c r="T13" i="2"/>
  <c r="S20" i="3"/>
  <c r="S5" i="3"/>
  <c r="S4" i="3"/>
  <c r="U9" i="2"/>
  <c r="T15" i="2"/>
  <c r="R15" i="6"/>
  <c r="R7" i="6"/>
  <c r="S14" i="3"/>
  <c r="S6" i="3"/>
  <c r="S10" i="3"/>
  <c r="S22" i="3"/>
  <c r="S23" i="3"/>
  <c r="Q10" i="6"/>
  <c r="U11" i="2"/>
  <c r="U13" i="2"/>
  <c r="T20" i="3"/>
  <c r="T5" i="3"/>
  <c r="T4" i="3"/>
  <c r="V13" i="2"/>
  <c r="V9" i="2"/>
  <c r="U15" i="2"/>
  <c r="S15" i="6"/>
  <c r="S7" i="6"/>
  <c r="T6" i="3"/>
  <c r="T10" i="3"/>
  <c r="T14" i="3"/>
  <c r="T22" i="3"/>
  <c r="T23" i="3"/>
  <c r="R10" i="6"/>
  <c r="V11" i="2"/>
  <c r="W9" i="2"/>
  <c r="W13" i="2"/>
  <c r="V15" i="2"/>
  <c r="T15" i="6"/>
  <c r="U4" i="3"/>
  <c r="U20" i="3"/>
  <c r="U5" i="3"/>
  <c r="X9" i="2"/>
  <c r="W15" i="2"/>
  <c r="U15" i="6"/>
  <c r="W11" i="2"/>
  <c r="T7" i="6"/>
  <c r="U22" i="3"/>
  <c r="U23" i="3"/>
  <c r="U6" i="3"/>
  <c r="U10" i="3"/>
  <c r="U14" i="3"/>
  <c r="S10" i="6"/>
  <c r="U7" i="6"/>
  <c r="X11" i="2"/>
  <c r="X13" i="2"/>
  <c r="V5" i="3"/>
  <c r="V4" i="3"/>
  <c r="V20" i="3"/>
  <c r="Y9" i="2"/>
  <c r="X15" i="2"/>
  <c r="V15" i="6"/>
  <c r="V7" i="6"/>
  <c r="V22" i="3"/>
  <c r="V23" i="3"/>
  <c r="V14" i="3"/>
  <c r="V6" i="3"/>
  <c r="V10" i="3"/>
  <c r="T10" i="6"/>
  <c r="Y11" i="2"/>
  <c r="Y13" i="2"/>
  <c r="Y15" i="2"/>
  <c r="W15" i="6"/>
  <c r="W5" i="3"/>
  <c r="W4" i="3"/>
  <c r="W20" i="3"/>
  <c r="W7" i="6"/>
  <c r="W22" i="3"/>
  <c r="W23" i="3"/>
  <c r="W14" i="3"/>
  <c r="W6" i="3"/>
  <c r="W10" i="3"/>
  <c r="U10" i="6"/>
  <c r="X4" i="3"/>
  <c r="X5" i="3"/>
  <c r="X20" i="3"/>
  <c r="X22" i="3"/>
  <c r="X23" i="3"/>
  <c r="X14" i="3"/>
  <c r="X6" i="3"/>
  <c r="X10" i="3"/>
  <c r="V10" i="6"/>
  <c r="Y4" i="3"/>
  <c r="Y20" i="3"/>
  <c r="Y5" i="3"/>
  <c r="Y22" i="3"/>
  <c r="Y23" i="3"/>
  <c r="Y14" i="3"/>
  <c r="Y6" i="3"/>
  <c r="Y10" i="3"/>
  <c r="H17" i="4"/>
  <c r="G26" i="5"/>
  <c r="G6" i="5"/>
  <c r="G10" i="5"/>
  <c r="G13" i="5"/>
  <c r="G17" i="5"/>
  <c r="E5" i="6"/>
  <c r="I13" i="4"/>
  <c r="I15" i="4"/>
  <c r="G27" i="5"/>
  <c r="I17" i="4"/>
  <c r="I19" i="4"/>
  <c r="G19" i="5"/>
  <c r="G22" i="5"/>
  <c r="G29" i="5"/>
  <c r="E18" i="6"/>
  <c r="F5" i="6"/>
  <c r="J13" i="4"/>
  <c r="J15" i="4"/>
  <c r="F18" i="6"/>
  <c r="J17" i="4"/>
  <c r="J19" i="4"/>
  <c r="I26" i="5"/>
  <c r="I27" i="5"/>
  <c r="I17" i="5"/>
  <c r="I19" i="5"/>
  <c r="I22" i="5"/>
  <c r="I29" i="5"/>
  <c r="I6" i="5"/>
  <c r="I10" i="5"/>
  <c r="I13" i="5"/>
  <c r="G5" i="6"/>
  <c r="K13" i="4"/>
  <c r="K15" i="4"/>
  <c r="G18" i="6"/>
  <c r="K17" i="4"/>
  <c r="K19" i="4"/>
  <c r="J26" i="5"/>
  <c r="J27" i="5"/>
  <c r="J6" i="5"/>
  <c r="J10" i="5"/>
  <c r="J13" i="5"/>
  <c r="J17" i="5"/>
  <c r="J19" i="5"/>
  <c r="J22" i="5"/>
  <c r="J29" i="5"/>
  <c r="H5" i="6"/>
  <c r="L13" i="4"/>
  <c r="L15" i="4"/>
  <c r="H18" i="6"/>
  <c r="L17" i="4"/>
  <c r="L19" i="4"/>
  <c r="K26" i="5"/>
  <c r="K27" i="5"/>
  <c r="K6" i="5"/>
  <c r="K10" i="5"/>
  <c r="K13" i="5"/>
  <c r="K17" i="5"/>
  <c r="K19" i="5"/>
  <c r="K22" i="5"/>
  <c r="K29" i="5"/>
  <c r="I5" i="6"/>
  <c r="M13" i="4"/>
  <c r="M15" i="4"/>
  <c r="M17" i="4"/>
  <c r="M19" i="4"/>
  <c r="L26" i="5"/>
  <c r="I18" i="6"/>
  <c r="I22" i="6"/>
  <c r="L27" i="5"/>
  <c r="L17" i="5"/>
  <c r="L19" i="5"/>
  <c r="L22" i="5"/>
  <c r="L29" i="5"/>
  <c r="L6" i="5"/>
  <c r="L10" i="5"/>
  <c r="L13" i="5"/>
  <c r="J5" i="6"/>
  <c r="N13" i="4"/>
  <c r="N15" i="4"/>
  <c r="N17" i="4"/>
  <c r="N19" i="4"/>
  <c r="M26" i="5"/>
  <c r="J18" i="6"/>
  <c r="J22" i="6" s="1"/>
  <c r="M17" i="5"/>
  <c r="M19" i="5"/>
  <c r="M22" i="5"/>
  <c r="M6" i="5"/>
  <c r="M10" i="5"/>
  <c r="M13" i="5"/>
  <c r="M27" i="5"/>
  <c r="K5" i="6"/>
  <c r="M29" i="5"/>
  <c r="O13" i="4"/>
  <c r="O15" i="4"/>
  <c r="O17" i="4"/>
  <c r="O19" i="4"/>
  <c r="N26" i="5"/>
  <c r="K18" i="6"/>
  <c r="N17" i="5"/>
  <c r="N19" i="5"/>
  <c r="N22" i="5"/>
  <c r="N6" i="5"/>
  <c r="N10" i="5"/>
  <c r="N13" i="5"/>
  <c r="N27" i="5"/>
  <c r="L5" i="6"/>
  <c r="N29" i="5"/>
  <c r="P13" i="4"/>
  <c r="P15" i="4"/>
  <c r="P17" i="4"/>
  <c r="P19" i="4"/>
  <c r="O26" i="5"/>
  <c r="L18" i="6"/>
  <c r="L22" i="6" s="1"/>
  <c r="O17" i="5"/>
  <c r="O19" i="5"/>
  <c r="O22" i="5"/>
  <c r="O27" i="5"/>
  <c r="O6" i="5"/>
  <c r="O10" i="5"/>
  <c r="O13" i="5"/>
  <c r="M5" i="6"/>
  <c r="O29" i="5"/>
  <c r="Q13" i="4"/>
  <c r="Q15" i="4"/>
  <c r="Q17" i="4"/>
  <c r="Q19" i="4"/>
  <c r="P26" i="5"/>
  <c r="M18" i="6"/>
  <c r="P27" i="5"/>
  <c r="P6" i="5"/>
  <c r="P10" i="5"/>
  <c r="P13" i="5"/>
  <c r="P17" i="5"/>
  <c r="P19" i="5"/>
  <c r="P22" i="5"/>
  <c r="P29" i="5"/>
  <c r="N5" i="6"/>
  <c r="R13" i="4"/>
  <c r="N18" i="6"/>
  <c r="N22" i="6" s="1"/>
  <c r="S29" i="9" l="1"/>
  <c r="X29" i="9"/>
  <c r="S33" i="9"/>
  <c r="X31" i="9"/>
  <c r="X33" i="9"/>
  <c r="S31" i="9"/>
  <c r="S28" i="9"/>
  <c r="X28" i="9"/>
  <c r="S26" i="9"/>
  <c r="X27" i="9" s="1"/>
  <c r="X32" i="9"/>
  <c r="S32" i="9"/>
  <c r="X30" i="9"/>
  <c r="S30" i="9"/>
  <c r="X26" i="9" s="1"/>
  <c r="N35" i="9"/>
  <c r="Y29" i="9" s="1"/>
  <c r="N34" i="9"/>
  <c r="T27" i="9" s="1"/>
  <c r="Y6" i="9"/>
  <c r="Y28" i="9"/>
  <c r="T26" i="9"/>
  <c r="Y27" i="9" s="1"/>
  <c r="T28" i="9"/>
  <c r="Y30" i="9"/>
  <c r="T30" i="9"/>
  <c r="T32" i="9"/>
  <c r="Y32" i="9"/>
  <c r="F9" i="8"/>
  <c r="F9" i="9" s="1"/>
  <c r="F5" i="9"/>
  <c r="E9" i="8"/>
  <c r="E9" i="9" s="1"/>
  <c r="E5" i="9"/>
  <c r="W5" i="9" s="1"/>
  <c r="U9" i="8"/>
  <c r="U9" i="9" s="1"/>
  <c r="U5" i="9"/>
  <c r="T9" i="8"/>
  <c r="T9" i="9" s="1"/>
  <c r="T5" i="9"/>
  <c r="R9" i="8"/>
  <c r="R9" i="9" s="1"/>
  <c r="R5" i="9"/>
  <c r="S22" i="8"/>
  <c r="Q9" i="8"/>
  <c r="Q9" i="9" s="1"/>
  <c r="Q5" i="9"/>
  <c r="O34" i="8"/>
  <c r="P9" i="8"/>
  <c r="P9" i="9" s="1"/>
  <c r="P5" i="9"/>
  <c r="S23" i="8"/>
  <c r="S24" i="8"/>
  <c r="L9" i="8"/>
  <c r="L9" i="9" s="1"/>
  <c r="L5" i="9"/>
  <c r="K9" i="8"/>
  <c r="K9" i="9" s="1"/>
  <c r="K5" i="9"/>
  <c r="J9" i="8"/>
  <c r="J9" i="9" s="1"/>
  <c r="J5" i="9"/>
  <c r="I9" i="8"/>
  <c r="I9" i="9" s="1"/>
  <c r="I5" i="9"/>
  <c r="X5" i="9" s="1"/>
  <c r="X5" i="8"/>
  <c r="W5" i="8"/>
  <c r="S26" i="8"/>
  <c r="S27" i="8"/>
  <c r="C9" i="8"/>
  <c r="C9" i="9" s="1"/>
  <c r="AA6" i="9"/>
  <c r="Z6" i="9"/>
  <c r="X6" i="9"/>
  <c r="AA7" i="9"/>
  <c r="W7" i="9"/>
  <c r="S9" i="8"/>
  <c r="AA5" i="8"/>
  <c r="AC5" i="8" s="1"/>
  <c r="AA9" i="8"/>
  <c r="O9" i="8"/>
  <c r="O9" i="9" s="1"/>
  <c r="Z5" i="8"/>
  <c r="D9" i="8"/>
  <c r="AA6" i="8"/>
  <c r="Y6" i="8"/>
  <c r="H24" i="6"/>
  <c r="H26" i="6" s="1"/>
  <c r="N24" i="6"/>
  <c r="N26" i="6" s="1"/>
  <c r="L24" i="6"/>
  <c r="L26" i="6" s="1"/>
  <c r="G24" i="6"/>
  <c r="G26" i="6" s="1"/>
  <c r="J24" i="6"/>
  <c r="J26" i="6" s="1"/>
  <c r="E24" i="6"/>
  <c r="E26" i="6" s="1"/>
  <c r="M24" i="6"/>
  <c r="M26" i="6" s="1"/>
  <c r="K24" i="6"/>
  <c r="K26" i="6" s="1"/>
  <c r="F24" i="6"/>
  <c r="F26" i="6" s="1"/>
  <c r="Z8" i="9"/>
  <c r="Y8" i="9"/>
  <c r="H9" i="8"/>
  <c r="H9" i="9" s="1"/>
  <c r="G9" i="8"/>
  <c r="G9" i="9" s="1"/>
  <c r="Z7" i="8"/>
  <c r="Y7" i="8"/>
  <c r="N9" i="8"/>
  <c r="AA7" i="8"/>
  <c r="X7" i="8"/>
  <c r="W7" i="8"/>
  <c r="R15" i="4"/>
  <c r="R6" i="4"/>
  <c r="M5" i="8" s="1"/>
  <c r="M5" i="9" s="1"/>
  <c r="Z5" i="9" l="1"/>
  <c r="T31" i="9"/>
  <c r="Y31" i="9"/>
  <c r="T33" i="9"/>
  <c r="Y33" i="9"/>
  <c r="T29" i="9"/>
  <c r="G15" i="9" s="1"/>
  <c r="J15" i="9"/>
  <c r="D10" i="10" s="1"/>
  <c r="G14" i="9"/>
  <c r="AA11" i="9" s="1"/>
  <c r="X14" i="9" s="1"/>
  <c r="Y5" i="9"/>
  <c r="S31" i="8"/>
  <c r="F16" i="8" s="1"/>
  <c r="C14" i="8" s="1"/>
  <c r="U10" i="9" s="1"/>
  <c r="D10" i="8"/>
  <c r="D9" i="9"/>
  <c r="D10" i="9" s="1"/>
  <c r="S9" i="9"/>
  <c r="W9" i="8"/>
  <c r="N10" i="8"/>
  <c r="N9" i="9"/>
  <c r="Z9" i="9" s="1"/>
  <c r="Q10" i="9"/>
  <c r="C10" i="8"/>
  <c r="K10" i="9"/>
  <c r="I10" i="9"/>
  <c r="F10" i="9"/>
  <c r="E10" i="9"/>
  <c r="J10" i="9"/>
  <c r="L10" i="9"/>
  <c r="T10" i="9"/>
  <c r="G10" i="8"/>
  <c r="T10" i="8"/>
  <c r="Q10" i="8"/>
  <c r="P10" i="8"/>
  <c r="L10" i="8"/>
  <c r="K10" i="8"/>
  <c r="F10" i="8"/>
  <c r="E10" i="8"/>
  <c r="Z9" i="8"/>
  <c r="X9" i="8"/>
  <c r="X8" i="9"/>
  <c r="W8" i="9"/>
  <c r="X9" i="9"/>
  <c r="Y5" i="8"/>
  <c r="M9" i="8"/>
  <c r="AA5" i="9"/>
  <c r="R17" i="4"/>
  <c r="R19" i="4" s="1"/>
  <c r="Y26" i="9" l="1"/>
  <c r="R10" i="8"/>
  <c r="G10" i="9"/>
  <c r="H10" i="8"/>
  <c r="C10" i="9"/>
  <c r="S10" i="9"/>
  <c r="W9" i="9"/>
  <c r="N10" i="9"/>
  <c r="I10" i="8"/>
  <c r="U10" i="8"/>
  <c r="O10" i="9"/>
  <c r="P10" i="9"/>
  <c r="J10" i="8"/>
  <c r="O10" i="8"/>
  <c r="H10" i="9"/>
  <c r="R10" i="9"/>
  <c r="S10" i="8"/>
  <c r="L10" i="10"/>
  <c r="C10" i="10"/>
  <c r="E10" i="10"/>
  <c r="M10" i="8"/>
  <c r="M9" i="9"/>
  <c r="Y9" i="8"/>
  <c r="AC9" i="8"/>
  <c r="Q26" i="5"/>
  <c r="O5" i="6"/>
  <c r="O11" i="6" s="1"/>
  <c r="AA9" i="9"/>
  <c r="X13" i="8" l="1"/>
  <c r="K10" i="10"/>
  <c r="M10" i="10"/>
  <c r="Y9" i="9"/>
  <c r="M10" i="9"/>
  <c r="X13" i="9" s="1"/>
  <c r="X16" i="9" s="1"/>
  <c r="AC10" i="8"/>
  <c r="X14" i="8" s="1"/>
  <c r="X16" i="8" s="1"/>
  <c r="C38" i="8" s="1"/>
  <c r="Q27" i="5"/>
  <c r="Q17" i="5"/>
  <c r="Q6" i="5"/>
  <c r="Q10" i="5" s="1"/>
  <c r="Q13" i="5" s="1"/>
  <c r="P37" i="9" l="1"/>
  <c r="D7" i="10"/>
  <c r="H4" i="10"/>
  <c r="I4" i="10" s="1"/>
  <c r="D4" i="10"/>
  <c r="S13" i="4"/>
  <c r="S15" i="4" s="1"/>
  <c r="O18" i="6"/>
  <c r="O22" i="6" s="1"/>
  <c r="O24" i="6" s="1"/>
  <c r="O26" i="6" s="1"/>
  <c r="Q19" i="5"/>
  <c r="Q22" i="5" s="1"/>
  <c r="Q29" i="5" s="1"/>
  <c r="G4" i="10" l="1"/>
  <c r="E7" i="10"/>
  <c r="C7" i="10"/>
  <c r="L7" i="10"/>
  <c r="E4" i="10"/>
  <c r="C4" i="10"/>
  <c r="D13" i="10"/>
  <c r="L4" i="10"/>
  <c r="S17" i="4"/>
  <c r="S19" i="4" s="1"/>
  <c r="M7" i="10" l="1"/>
  <c r="K7" i="10"/>
  <c r="E13" i="10"/>
  <c r="C13" i="10"/>
  <c r="M4" i="10"/>
  <c r="K4" i="10"/>
  <c r="L13" i="10"/>
  <c r="D22" i="10"/>
  <c r="P5" i="6"/>
  <c r="P11" i="6" s="1"/>
  <c r="R26" i="5"/>
  <c r="C22" i="10" l="1"/>
  <c r="E22" i="10"/>
  <c r="K13" i="10"/>
  <c r="M13" i="10"/>
  <c r="R17" i="5"/>
  <c r="R27" i="5"/>
  <c r="R6" i="5"/>
  <c r="R10" i="5" s="1"/>
  <c r="R13" i="5" s="1"/>
  <c r="P18" i="6" l="1"/>
  <c r="P22" i="6" s="1"/>
  <c r="P24" i="6" s="1"/>
  <c r="P26" i="6" s="1"/>
  <c r="T13" i="4"/>
  <c r="T15" i="4" s="1"/>
  <c r="R19" i="5"/>
  <c r="R22" i="5" s="1"/>
  <c r="R29" i="5" s="1"/>
  <c r="T17" i="4" l="1"/>
  <c r="T19" i="4"/>
  <c r="Q5" i="6" l="1"/>
  <c r="Q11" i="6" s="1"/>
  <c r="S26" i="5"/>
  <c r="S6" i="5" l="1"/>
  <c r="S10" i="5" s="1"/>
  <c r="S13" i="5" s="1"/>
  <c r="S27" i="5"/>
  <c r="S17" i="5"/>
  <c r="S19" i="5" l="1"/>
  <c r="S22" i="5" s="1"/>
  <c r="S29" i="5" s="1"/>
  <c r="Q18" i="6"/>
  <c r="Q22" i="6" s="1"/>
  <c r="Q24" i="6" s="1"/>
  <c r="Q26" i="6" s="1"/>
  <c r="U13" i="4"/>
  <c r="U15" i="4" s="1"/>
  <c r="U17" i="4" l="1"/>
  <c r="U19" i="4" s="1"/>
  <c r="R5" i="6" l="1"/>
  <c r="R11" i="6" s="1"/>
  <c r="T26" i="5"/>
  <c r="T17" i="5" l="1"/>
  <c r="T6" i="5"/>
  <c r="T10" i="5" s="1"/>
  <c r="T13" i="5" s="1"/>
  <c r="T27" i="5"/>
  <c r="R18" i="6" l="1"/>
  <c r="R22" i="6" s="1"/>
  <c r="R24" i="6" s="1"/>
  <c r="R26" i="6" s="1"/>
  <c r="V13" i="4"/>
  <c r="V15" i="4" s="1"/>
  <c r="T19" i="5"/>
  <c r="T22" i="5" s="1"/>
  <c r="T29" i="5" s="1"/>
  <c r="V17" i="4" l="1"/>
  <c r="V19" i="4" s="1"/>
  <c r="S5" i="6" l="1"/>
  <c r="S11" i="6" s="1"/>
  <c r="U26" i="5"/>
  <c r="U27" i="5" l="1"/>
  <c r="U17" i="5"/>
  <c r="U6" i="5"/>
  <c r="U10" i="5" s="1"/>
  <c r="U13" i="5" s="1"/>
  <c r="U19" i="5" l="1"/>
  <c r="U22" i="5" s="1"/>
  <c r="U29" i="5" s="1"/>
  <c r="S18" i="6"/>
  <c r="S22" i="6" s="1"/>
  <c r="S24" i="6" s="1"/>
  <c r="S26" i="6" s="1"/>
  <c r="W13" i="4"/>
  <c r="W15" i="4" s="1"/>
  <c r="W17" i="4" l="1"/>
  <c r="W19" i="4" s="1"/>
  <c r="T5" i="6" l="1"/>
  <c r="T11" i="6" s="1"/>
  <c r="V26" i="5"/>
  <c r="V17" i="5" l="1"/>
  <c r="V6" i="5"/>
  <c r="V10" i="5" s="1"/>
  <c r="V13" i="5" s="1"/>
  <c r="V27" i="5"/>
  <c r="X13" i="4" l="1"/>
  <c r="X15" i="4" s="1"/>
  <c r="V19" i="5"/>
  <c r="V22" i="5" s="1"/>
  <c r="V29" i="5" s="1"/>
  <c r="T18" i="6"/>
  <c r="T22" i="6" s="1"/>
  <c r="T24" i="6" s="1"/>
  <c r="T26" i="6" s="1"/>
  <c r="X17" i="4" l="1"/>
  <c r="X19" i="4"/>
  <c r="U5" i="6" l="1"/>
  <c r="U11" i="6" s="1"/>
  <c r="W26" i="5"/>
  <c r="W27" i="5" l="1"/>
  <c r="W17" i="5"/>
  <c r="W6" i="5"/>
  <c r="W10" i="5" s="1"/>
  <c r="W13" i="5" s="1"/>
  <c r="Y13" i="4" l="1"/>
  <c r="Y15" i="4" s="1"/>
  <c r="W19" i="5"/>
  <c r="W22" i="5" s="1"/>
  <c r="W29" i="5" s="1"/>
  <c r="U18" i="6"/>
  <c r="U22" i="6" s="1"/>
  <c r="U24" i="6" s="1"/>
  <c r="U26" i="6" s="1"/>
  <c r="Y17" i="4" l="1"/>
  <c r="Y19" i="4"/>
  <c r="V5" i="6" l="1"/>
  <c r="V11" i="6" s="1"/>
  <c r="X26" i="5"/>
  <c r="X17" i="5" l="1"/>
  <c r="X27" i="5"/>
  <c r="X6" i="5"/>
  <c r="X10" i="5" s="1"/>
  <c r="X13" i="5" s="1"/>
  <c r="X19" i="5" l="1"/>
  <c r="X22" i="5" s="1"/>
  <c r="X29" i="5" s="1"/>
  <c r="V18" i="6"/>
  <c r="V22" i="6" s="1"/>
  <c r="V24" i="6" s="1"/>
  <c r="V26" i="6" s="1"/>
  <c r="Z13" i="4"/>
  <c r="Z15" i="4" s="1"/>
  <c r="Z17" i="4" l="1"/>
  <c r="Z19" i="4"/>
  <c r="W5" i="6" l="1"/>
  <c r="W11" i="6" s="1"/>
  <c r="Y26" i="5"/>
  <c r="Y6" i="5" l="1"/>
  <c r="Y10" i="5" s="1"/>
  <c r="Y13" i="5" s="1"/>
  <c r="Y17" i="5"/>
  <c r="Y27" i="5"/>
  <c r="W18" i="6" l="1"/>
  <c r="W22" i="6" s="1"/>
  <c r="W24" i="6" s="1"/>
  <c r="W26" i="6" s="1"/>
  <c r="Y19" i="5"/>
  <c r="Y22" i="5" s="1"/>
  <c r="Y29" i="5" s="1"/>
</calcChain>
</file>

<file path=xl/sharedStrings.xml><?xml version="1.0" encoding="utf-8"?>
<sst xmlns="http://schemas.openxmlformats.org/spreadsheetml/2006/main" count="649" uniqueCount="258">
  <si>
    <t>Assumptions</t>
  </si>
  <si>
    <t>Proj.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</si>
  <si>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</si>
  <si>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</si>
  <si>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</si>
  <si>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</si>
  <si>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</si>
  <si>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</si>
  <si>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</si>
  <si>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</si>
  <si>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</si>
  <si>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</si>
  <si>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</si>
  <si>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</si>
  <si>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</si>
  <si>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</si>
  <si>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</si>
  <si>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</si>
  <si>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</si>
  <si>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</si>
  <si>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</si>
  <si>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Manufacturing Business Unit</t>
  </si>
  <si>
    <t>Units sold</t>
  </si>
  <si>
    <t>Sale price (per unit)</t>
  </si>
  <si>
    <t>Cost of Goods</t>
  </si>
  <si>
    <t>Variable cost (per unit)</t>
  </si>
  <si>
    <t>SG&amp;A</t>
  </si>
  <si>
    <t>Fixed costs</t>
  </si>
  <si>
    <t>Variable cost (% of revenue)</t>
  </si>
  <si>
    <t>Machinery, net</t>
  </si>
  <si>
    <t>Number of new machines</t>
  </si>
  <si>
    <t>Price per new macine</t>
  </si>
  <si>
    <t>Depreciation (% of quarterly lagged net machinery)</t>
  </si>
  <si>
    <t>Other Required PP&amp;E, net</t>
  </si>
  <si>
    <t>Depreciation (% of quarterly lagged Other PP&amp;E, net)</t>
  </si>
  <si>
    <t>Working capital</t>
  </si>
  <si>
    <t>Required cash (% revenue)</t>
  </si>
  <si>
    <t>Days sales in inventory</t>
  </si>
  <si>
    <t>Days sales in receivables</t>
  </si>
  <si>
    <t>Days payables outstanding</t>
  </si>
  <si>
    <t>Service Business Unit</t>
  </si>
  <si>
    <t>Quarterly ARPU (average revenue per *beginning* customer)</t>
  </si>
  <si>
    <t>Customer assumptions</t>
  </si>
  <si>
    <t>Customer acquisition expense per new customer</t>
  </si>
  <si>
    <t>Customer churn (% of beginning customers who quit service)</t>
  </si>
  <si>
    <t>Cost of Goods per customer (use beginning customers)</t>
  </si>
  <si>
    <t>Planned customer acquisiion expense</t>
  </si>
  <si>
    <t>Other expenses</t>
  </si>
  <si>
    <t>Capital expenditures</t>
  </si>
  <si>
    <t>"Success based" (capex per new customer)</t>
  </si>
  <si>
    <t>"Maintenance" (% of depreciation)</t>
  </si>
  <si>
    <t>Depreciation (% of quarterly lagged net fixed assets)</t>
  </si>
  <si>
    <t>Required cash (% of total service unit's assets)</t>
  </si>
  <si>
    <t>Days sales in inventory (assume no inventory)</t>
  </si>
  <si>
    <t>*Annual* Cost of Debt</t>
  </si>
  <si>
    <t>Revolving line of credit (note payable) - use lagged N/P</t>
  </si>
  <si>
    <t>Long-term debt - use lagged LTD</t>
  </si>
  <si>
    <t>Capital structure plan</t>
  </si>
  <si>
    <t>Planned Long-term debt (end of the quarter)</t>
  </si>
  <si>
    <t>Planned Equity (Par and APIC)</t>
  </si>
  <si>
    <t>Projected dividends</t>
  </si>
  <si>
    <t>Corporate tax rate</t>
  </si>
  <si>
    <t>Comparable Firm Analysis</t>
  </si>
  <si>
    <t>Share</t>
  </si>
  <si>
    <t># shrs</t>
  </si>
  <si>
    <t>Book Value</t>
  </si>
  <si>
    <t>TTM</t>
  </si>
  <si>
    <t>Observed</t>
  </si>
  <si>
    <t>Tax</t>
  </si>
  <si>
    <t>Debt to Equity</t>
  </si>
  <si>
    <t>Your Professional</t>
  </si>
  <si>
    <t>Price</t>
  </si>
  <si>
    <t>Outstanding</t>
  </si>
  <si>
    <t>Debt</t>
  </si>
  <si>
    <t>EBITDA</t>
  </si>
  <si>
    <t>Beta</t>
  </si>
  <si>
    <t>Rate</t>
  </si>
  <si>
    <t>Classification</t>
  </si>
  <si>
    <t>Manufacturing</t>
  </si>
  <si>
    <t>Business A</t>
  </si>
  <si>
    <t>"mature &amp; moderate growth"</t>
  </si>
  <si>
    <t>Business B</t>
  </si>
  <si>
    <t>Business C</t>
  </si>
  <si>
    <t>Business D</t>
  </si>
  <si>
    <t>"younger &amp; quicker growth"</t>
  </si>
  <si>
    <t>Business E</t>
  </si>
  <si>
    <t>Business F</t>
  </si>
  <si>
    <t>Business G</t>
  </si>
  <si>
    <t>Service</t>
  </si>
  <si>
    <t>Business H</t>
  </si>
  <si>
    <t>Business I</t>
  </si>
  <si>
    <t>Equity Market Risk Premium (Assumed)</t>
  </si>
  <si>
    <t>Estimated Cost of Debt Capital</t>
  </si>
  <si>
    <t>Cardinal's Target Debt / Equity Ratio</t>
  </si>
  <si>
    <t>(you can assume that the D/E Ratio is the same for each business unit)</t>
  </si>
  <si>
    <t>Manufacturing Details</t>
  </si>
  <si>
    <t>Actual</t>
  </si>
  <si>
    <t>Projected</t>
  </si>
  <si>
    <t>Q2 2017</t>
  </si>
  <si>
    <t>Q3 2017</t>
  </si>
  <si>
    <t>Q4 2017</t>
  </si>
  <si>
    <t>Q1 2018</t>
  </si>
  <si>
    <t>Sales</t>
  </si>
  <si>
    <t>Gross Margin</t>
  </si>
  <si>
    <t>Depreciation (Machines)</t>
  </si>
  <si>
    <t>Depreciation (Other)</t>
  </si>
  <si>
    <t>EBIT</t>
  </si>
  <si>
    <t>Net PP&amp;E (Machines)</t>
  </si>
  <si>
    <t>Net Other PP&amp;E</t>
  </si>
  <si>
    <t>Total Net PP&amp;E</t>
  </si>
  <si>
    <t>Required Cash</t>
  </si>
  <si>
    <t>Inventory</t>
  </si>
  <si>
    <t>Accounts Receivable</t>
  </si>
  <si>
    <t>Accounts Payable</t>
  </si>
  <si>
    <t>Service Details</t>
  </si>
  <si>
    <t>Depreciation</t>
  </si>
  <si>
    <t>Net PP&amp;E</t>
  </si>
  <si>
    <t>Customer Build</t>
  </si>
  <si>
    <t>Beginning Customers</t>
  </si>
  <si>
    <t xml:space="preserve">  Gross Additions</t>
  </si>
  <si>
    <t xml:space="preserve">  Churn</t>
  </si>
  <si>
    <t>Ending Customers</t>
  </si>
  <si>
    <t>Income Statement</t>
  </si>
  <si>
    <t>Revenue</t>
  </si>
  <si>
    <t>Cost of Goods Sold</t>
  </si>
  <si>
    <t>Gross Profits</t>
  </si>
  <si>
    <t>Operating Expenses</t>
  </si>
  <si>
    <t>Total Opex</t>
  </si>
  <si>
    <t>Interest Expense</t>
  </si>
  <si>
    <t>Earnings before Tax</t>
  </si>
  <si>
    <t>Tax Expense</t>
  </si>
  <si>
    <t>Net Income</t>
  </si>
  <si>
    <t>Balance Sheet</t>
  </si>
  <si>
    <t>Assets</t>
  </si>
  <si>
    <t>Current Assets</t>
  </si>
  <si>
    <t>Excess Cash</t>
  </si>
  <si>
    <t>Total Current Assets</t>
  </si>
  <si>
    <t>Equipment, net</t>
  </si>
  <si>
    <t>Total Assets</t>
  </si>
  <si>
    <t>Liabilities &amp; Owners' Equity</t>
  </si>
  <si>
    <t>Current Liabilities</t>
  </si>
  <si>
    <t>Notes Payable</t>
  </si>
  <si>
    <t>Total Current Liabilities</t>
  </si>
  <si>
    <t>Long Term Debt</t>
  </si>
  <si>
    <t>Total Liabilities</t>
  </si>
  <si>
    <t>Common Stock</t>
  </si>
  <si>
    <t>Par and APIC</t>
  </si>
  <si>
    <t>Retained Earnings</t>
  </si>
  <si>
    <t>Total Stockholders' Equity</t>
  </si>
  <si>
    <t>Total Liabilities &amp; Owners' Equity</t>
  </si>
  <si>
    <t>nowc</t>
  </si>
  <si>
    <t>Statement of Cash Flows</t>
  </si>
  <si>
    <t>Cash Flow from Operating Activities</t>
  </si>
  <si>
    <t>Net income</t>
  </si>
  <si>
    <t>Adjustments to Net Income</t>
  </si>
  <si>
    <t>Depreciation &amp; Amortization</t>
  </si>
  <si>
    <t>Accounts receivable</t>
  </si>
  <si>
    <t>Accounts payable</t>
  </si>
  <si>
    <t>Net Cash from Operating Activities</t>
  </si>
  <si>
    <t>Cash Flow from Investing Activities</t>
  </si>
  <si>
    <t>Additions to equipment</t>
  </si>
  <si>
    <t>Net Cash from Investing Activities</t>
  </si>
  <si>
    <t>Cash Flow from Financing Activities</t>
  </si>
  <si>
    <t>Proceeds from notes payable</t>
  </si>
  <si>
    <t>Proceeds from Common stock</t>
  </si>
  <si>
    <t>Proceeds from long-term debt</t>
  </si>
  <si>
    <t>Dividends paid</t>
  </si>
  <si>
    <t>Net Cash from Financing Activities</t>
  </si>
  <si>
    <t>Net change in cash</t>
  </si>
  <si>
    <t>Beginning cash balance</t>
  </si>
  <si>
    <t>Ending cash blanace</t>
  </si>
  <si>
    <t>Discounted Cash Flows</t>
  </si>
  <si>
    <t>Annual Projections</t>
  </si>
  <si>
    <t>Consolidated</t>
  </si>
  <si>
    <t>Steady State</t>
  </si>
  <si>
    <t xml:space="preserve">  EBIT(1-t)</t>
  </si>
  <si>
    <t xml:space="preserve">  +Depr</t>
  </si>
  <si>
    <t xml:space="preserve">  -Capex</t>
  </si>
  <si>
    <t xml:space="preserve">  -ΔNOWC</t>
  </si>
  <si>
    <t>Free Cash Flow</t>
  </si>
  <si>
    <t>PV</t>
  </si>
  <si>
    <t>Terminal Value</t>
  </si>
  <si>
    <t>Terminal Growth Rate</t>
  </si>
  <si>
    <t>D/V</t>
  </si>
  <si>
    <t>D/E</t>
  </si>
  <si>
    <t>Rf</t>
  </si>
  <si>
    <t>PVpp</t>
  </si>
  <si>
    <t>WACC</t>
  </si>
  <si>
    <t>E/V</t>
  </si>
  <si>
    <t>MRP</t>
  </si>
  <si>
    <t>PVtv</t>
  </si>
  <si>
    <t>Cost of Debt</t>
  </si>
  <si>
    <t>Cost of Equity</t>
  </si>
  <si>
    <t>Enterprise Value</t>
  </si>
  <si>
    <t>DATA TABLE</t>
  </si>
  <si>
    <t>TTM (PROJECTED) EBITDA</t>
  </si>
  <si>
    <t>MATURE FIRM MULT</t>
  </si>
  <si>
    <t>MARKET METHOD</t>
  </si>
  <si>
    <t>TTM (ACTUAL) EBITDA</t>
  </si>
  <si>
    <t>YOUNG FIRM MULT</t>
  </si>
  <si>
    <t>EV(excl. excess cash)</t>
  </si>
  <si>
    <t>multiple</t>
  </si>
  <si>
    <t>AVERAGES</t>
  </si>
  <si>
    <t>MEDIANS</t>
  </si>
  <si>
    <t>ALL YOUNG</t>
  </si>
  <si>
    <t>ALL MATURE</t>
  </si>
  <si>
    <t>YOUNG MNFG.</t>
  </si>
  <si>
    <t>YOUNG SERVICE</t>
  </si>
  <si>
    <t>MATURE MNFG.</t>
  </si>
  <si>
    <t>MATURE SERVICE</t>
  </si>
  <si>
    <t>ALL MNFG.</t>
  </si>
  <si>
    <t>ALL SERVICE</t>
  </si>
  <si>
    <t>Valuation Deliverables</t>
  </si>
  <si>
    <t>(date of April 1, 2018)</t>
  </si>
  <si>
    <t>Low</t>
  </si>
  <si>
    <t>Estimate</t>
  </si>
  <si>
    <t>High</t>
  </si>
  <si>
    <t>Implied Terminal EBITDA Multiple</t>
  </si>
  <si>
    <t>Implied Current EBITDA Multiple</t>
  </si>
  <si>
    <t>DCF Valuation (terminal growth method)</t>
  </si>
  <si>
    <t>Implied Terminal Growth Rate</t>
  </si>
  <si>
    <t>DCF Valuation (terminal multiple method)</t>
  </si>
  <si>
    <t>Comparable Company Valuation</t>
  </si>
  <si>
    <t>Your expert Enterprise Value Range</t>
  </si>
  <si>
    <t>Number of Shares Outstanding</t>
  </si>
  <si>
    <t>Price per share estimate</t>
  </si>
  <si>
    <t>DATA TABLE WACC vs. Growth Rate</t>
  </si>
  <si>
    <t>Data Table: Multiples vs. Growth Rates</t>
  </si>
  <si>
    <t>Share Price</t>
  </si>
  <si>
    <t># Share Outstanding</t>
  </si>
  <si>
    <t>Book Value Debt</t>
  </si>
  <si>
    <t>TTM EBITDA</t>
  </si>
  <si>
    <t>Tax Rate</t>
  </si>
  <si>
    <t>Observed Beta</t>
  </si>
  <si>
    <t>Unlevered Beta</t>
  </si>
  <si>
    <t>Averages</t>
  </si>
  <si>
    <t>Mature and Moderate</t>
  </si>
  <si>
    <t>Total</t>
  </si>
  <si>
    <t>Young &amp; Quick</t>
  </si>
  <si>
    <t>Mature &amp; Moderate</t>
  </si>
  <si>
    <t>Firm Unlevered</t>
  </si>
  <si>
    <t>Re-levered</t>
  </si>
  <si>
    <t>Shares</t>
  </si>
  <si>
    <t>Book Value debt</t>
  </si>
  <si>
    <t>Multiple</t>
  </si>
  <si>
    <t>All Young</t>
  </si>
  <si>
    <t>All Mature</t>
  </si>
  <si>
    <t>Young MNFG.</t>
  </si>
  <si>
    <t>Young Service</t>
  </si>
  <si>
    <t>Mature MNFG.</t>
  </si>
  <si>
    <t>Mature Service</t>
  </si>
  <si>
    <t>All MNFG.</t>
  </si>
  <si>
    <t>All Service</t>
  </si>
  <si>
    <t>30-Year US Treasury Rate (29/3/2019)</t>
  </si>
  <si>
    <t>Additional Model Assumptions:</t>
  </si>
  <si>
    <t xml:space="preserve">**Created data tables adjusting WACC, the Terminal Multiple or the Terminal Growth Rate to establish a reasonable range for each valuation method (for example, </t>
  </si>
  <si>
    <t xml:space="preserve">     adjust the estimate for WACC +/- 0.1% for several intervals, adjust the Terminal Multiple by +/- 0.5x, adjust Growth Rate by +/- 0.2%)</t>
  </si>
  <si>
    <t>**Made sure that "Low" and "High" estimates are a reasonable range (something like $2.00 - $50.00 is way too broad)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</si>
</sst>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00%"/>
    <numFmt numFmtId="168" formatCode="_(* #,##0.0000_);_(* \(#,##0.0000\);_(* &quot;-&quot;??_);_(@_)"/>
    <numFmt numFmtId="169" formatCode="#,##0.00\x_);\(#,##0.00\x\)"/>
    <numFmt numFmtId="170" formatCode="_(&quot;$&quot;* #,##0_);_(&quot;$&quot;* \(#,##0\);_(&quot;$&quot;* &quot;-&quot;??_);_(@_)"/>
    <numFmt numFmtId="171" formatCode="&quot;$&quot;#,##0.00"/>
    <numFmt numFmtId="172" formatCode="0.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u val="singleAccounting"/>
      <sz val="11"/>
      <color theme="1"/>
      <name val="Times New Roman"/>
      <family val="1"/>
    </font>
    <font>
      <u val="singleAccounting"/>
      <sz val="11"/>
      <color theme="1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sz val="25"/>
      <color theme="1"/>
      <name val="Calibri"/>
      <family val="2"/>
    </font>
    <font>
      <b/>
      <sz val="11"/>
      <color theme="3"/>
      <name val="Times New Roman"/>
      <family val="1"/>
    </font>
    <font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4" tint="-0.499984740745262"/>
      <name val="Times New Roman"/>
      <family val="1"/>
    </font>
    <font>
      <sz val="12"/>
      <color theme="1"/>
      <name val="Times New Roman"/>
      <family val="1"/>
    </font>
    <font>
      <b/>
      <sz val="12"/>
      <color theme="3"/>
      <name val="Times New Roman"/>
      <family val="1"/>
    </font>
    <font>
      <sz val="25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CE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10" fontId="0" fillId="0" borderId="0" xfId="0" applyNumberFormat="1"/>
    <xf numFmtId="9" fontId="0" fillId="0" borderId="0" xfId="0" applyNumberFormat="1"/>
    <xf numFmtId="43" fontId="0" fillId="0" borderId="0" xfId="1" applyFont="1"/>
    <xf numFmtId="164" fontId="0" fillId="0" borderId="0" xfId="1" applyNumberFormat="1" applyFont="1"/>
    <xf numFmtId="0" fontId="4" fillId="0" borderId="0" xfId="0" applyFont="1"/>
    <xf numFmtId="2" fontId="0" fillId="0" borderId="0" xfId="0" applyNumberFormat="1"/>
    <xf numFmtId="166" fontId="0" fillId="0" borderId="0" xfId="0" applyNumberFormat="1"/>
    <xf numFmtId="167" fontId="0" fillId="0" borderId="0" xfId="3" applyNumberFormat="1" applyFont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164" fontId="5" fillId="0" borderId="0" xfId="0" applyNumberFormat="1" applyFont="1"/>
    <xf numFmtId="164" fontId="5" fillId="0" borderId="0" xfId="1" applyNumberFormat="1" applyFont="1"/>
    <xf numFmtId="168" fontId="5" fillId="0" borderId="0" xfId="0" applyNumberFormat="1" applyFont="1"/>
    <xf numFmtId="0" fontId="7" fillId="3" borderId="0" xfId="0" applyFont="1" applyFill="1" applyAlignment="1">
      <alignment horizontal="center"/>
    </xf>
    <xf numFmtId="0" fontId="7" fillId="0" borderId="2" xfId="0" applyFont="1" applyBorder="1"/>
    <xf numFmtId="0" fontId="5" fillId="0" borderId="2" xfId="0" applyFont="1" applyBorder="1"/>
    <xf numFmtId="164" fontId="8" fillId="3" borderId="0" xfId="1" applyNumberFormat="1" applyFont="1" applyFill="1"/>
    <xf numFmtId="0" fontId="7" fillId="0" borderId="0" xfId="0" applyFont="1"/>
    <xf numFmtId="164" fontId="9" fillId="3" borderId="0" xfId="1" applyNumberFormat="1" applyFont="1" applyFill="1"/>
    <xf numFmtId="164" fontId="10" fillId="0" borderId="0" xfId="1" applyNumberFormat="1" applyFont="1"/>
    <xf numFmtId="164" fontId="7" fillId="0" borderId="0" xfId="1" applyNumberFormat="1" applyFont="1"/>
    <xf numFmtId="164" fontId="8" fillId="3" borderId="4" xfId="1" applyNumberFormat="1" applyFont="1" applyFill="1" applyBorder="1"/>
    <xf numFmtId="0" fontId="8" fillId="3" borderId="0" xfId="0" applyFont="1" applyFill="1"/>
    <xf numFmtId="164" fontId="8" fillId="3" borderId="0" xfId="0" applyNumberFormat="1" applyFont="1" applyFill="1"/>
    <xf numFmtId="164" fontId="5" fillId="0" borderId="4" xfId="1" applyNumberFormat="1" applyFont="1" applyBorder="1"/>
    <xf numFmtId="0" fontId="11" fillId="0" borderId="0" xfId="0" applyFont="1"/>
    <xf numFmtId="0" fontId="12" fillId="0" borderId="0" xfId="0" applyFont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0" xfId="0" applyFont="1"/>
    <xf numFmtId="164" fontId="10" fillId="0" borderId="0" xfId="0" applyNumberFormat="1" applyFont="1"/>
    <xf numFmtId="10" fontId="14" fillId="5" borderId="5" xfId="0" applyNumberFormat="1" applyFont="1" applyFill="1" applyBorder="1"/>
    <xf numFmtId="0" fontId="5" fillId="0" borderId="0" xfId="0" applyFont="1" applyAlignment="1">
      <alignment horizontal="center"/>
    </xf>
    <xf numFmtId="0" fontId="5" fillId="0" borderId="3" xfId="0" applyFont="1" applyBorder="1"/>
    <xf numFmtId="0" fontId="15" fillId="0" borderId="3" xfId="0" applyFont="1" applyBorder="1"/>
    <xf numFmtId="44" fontId="5" fillId="0" borderId="0" xfId="2" applyFont="1" applyBorder="1"/>
    <xf numFmtId="164" fontId="5" fillId="0" borderId="0" xfId="1" applyNumberFormat="1" applyFont="1" applyBorder="1"/>
    <xf numFmtId="164" fontId="5" fillId="0" borderId="0" xfId="1" applyNumberFormat="1" applyFont="1" applyFill="1" applyBorder="1"/>
    <xf numFmtId="0" fontId="15" fillId="0" borderId="0" xfId="0" applyFont="1"/>
    <xf numFmtId="44" fontId="5" fillId="0" borderId="2" xfId="2" applyFont="1" applyBorder="1"/>
    <xf numFmtId="164" fontId="5" fillId="0" borderId="2" xfId="1" applyNumberFormat="1" applyFont="1" applyBorder="1"/>
    <xf numFmtId="0" fontId="16" fillId="0" borderId="0" xfId="0" applyFont="1" applyAlignment="1">
      <alignment horizontal="center"/>
    </xf>
    <xf numFmtId="44" fontId="5" fillId="0" borderId="0" xfId="2" applyFont="1"/>
    <xf numFmtId="44" fontId="5" fillId="7" borderId="5" xfId="2" applyFont="1" applyFill="1" applyBorder="1"/>
    <xf numFmtId="44" fontId="5" fillId="8" borderId="5" xfId="2" applyFont="1" applyFill="1" applyBorder="1"/>
    <xf numFmtId="0" fontId="5" fillId="4" borderId="0" xfId="0" applyFont="1" applyFill="1"/>
    <xf numFmtId="44" fontId="5" fillId="4" borderId="0" xfId="2" applyFont="1" applyFill="1" applyBorder="1"/>
    <xf numFmtId="164" fontId="17" fillId="4" borderId="0" xfId="1" applyNumberFormat="1" applyFont="1" applyFill="1" applyBorder="1"/>
    <xf numFmtId="0" fontId="16" fillId="4" borderId="0" xfId="0" applyFont="1" applyFill="1" applyAlignment="1">
      <alignment horizontal="center"/>
    </xf>
    <xf numFmtId="0" fontId="5" fillId="4" borderId="1" xfId="0" applyFont="1" applyFill="1" applyBorder="1"/>
    <xf numFmtId="44" fontId="5" fillId="4" borderId="1" xfId="2" applyFont="1" applyFill="1" applyBorder="1"/>
    <xf numFmtId="0" fontId="6" fillId="2" borderId="0" xfId="0" applyFont="1" applyFill="1"/>
    <xf numFmtId="0" fontId="5" fillId="2" borderId="1" xfId="0" applyFont="1" applyFill="1" applyBorder="1"/>
    <xf numFmtId="0" fontId="5" fillId="2" borderId="0" xfId="0" applyFont="1" applyFill="1"/>
    <xf numFmtId="44" fontId="5" fillId="7" borderId="6" xfId="2" applyFont="1" applyFill="1" applyBorder="1"/>
    <xf numFmtId="44" fontId="5" fillId="8" borderId="7" xfId="2" applyFont="1" applyFill="1" applyBorder="1"/>
    <xf numFmtId="44" fontId="5" fillId="7" borderId="8" xfId="2" applyFont="1" applyFill="1" applyBorder="1"/>
    <xf numFmtId="44" fontId="5" fillId="8" borderId="9" xfId="2" applyFont="1" applyFill="1" applyBorder="1"/>
    <xf numFmtId="44" fontId="8" fillId="4" borderId="0" xfId="2" applyFont="1" applyFill="1" applyBorder="1"/>
    <xf numFmtId="0" fontId="8" fillId="4" borderId="0" xfId="0" applyFont="1" applyFill="1"/>
    <xf numFmtId="44" fontId="8" fillId="0" borderId="0" xfId="2" applyFont="1"/>
    <xf numFmtId="0" fontId="8" fillId="4" borderId="1" xfId="0" applyFont="1" applyFill="1" applyBorder="1"/>
    <xf numFmtId="44" fontId="8" fillId="4" borderId="1" xfId="2" applyFont="1" applyFill="1" applyBorder="1"/>
    <xf numFmtId="0" fontId="8" fillId="2" borderId="0" xfId="0" applyFont="1" applyFill="1"/>
    <xf numFmtId="169" fontId="8" fillId="7" borderId="5" xfId="2" applyNumberFormat="1" applyFont="1" applyFill="1" applyBorder="1"/>
    <xf numFmtId="169" fontId="8" fillId="6" borderId="5" xfId="2" applyNumberFormat="1" applyFont="1" applyFill="1" applyBorder="1"/>
    <xf numFmtId="169" fontId="8" fillId="8" borderId="5" xfId="2" applyNumberFormat="1" applyFont="1" applyFill="1" applyBorder="1"/>
    <xf numFmtId="10" fontId="8" fillId="7" borderId="5" xfId="3" applyNumberFormat="1" applyFont="1" applyFill="1" applyBorder="1"/>
    <xf numFmtId="10" fontId="8" fillId="6" borderId="5" xfId="3" applyNumberFormat="1" applyFont="1" applyFill="1" applyBorder="1"/>
    <xf numFmtId="10" fontId="8" fillId="8" borderId="5" xfId="3" applyNumberFormat="1" applyFont="1" applyFill="1" applyBorder="1"/>
    <xf numFmtId="169" fontId="8" fillId="4" borderId="10" xfId="2" applyNumberFormat="1" applyFont="1" applyFill="1" applyBorder="1"/>
    <xf numFmtId="0" fontId="7" fillId="2" borderId="0" xfId="0" applyFont="1" applyFill="1"/>
    <xf numFmtId="164" fontId="17" fillId="5" borderId="5" xfId="1" applyNumberFormat="1" applyFont="1" applyFill="1" applyBorder="1"/>
    <xf numFmtId="0" fontId="5" fillId="0" borderId="2" xfId="0" applyFont="1" applyBorder="1" applyAlignment="1">
      <alignment horizontal="center"/>
    </xf>
    <xf numFmtId="164" fontId="0" fillId="0" borderId="5" xfId="1" applyNumberFormat="1" applyFont="1" applyBorder="1"/>
    <xf numFmtId="0" fontId="5" fillId="0" borderId="0" xfId="0" applyFont="1" applyAlignment="1">
      <alignment horizontal="right"/>
    </xf>
    <xf numFmtId="0" fontId="7" fillId="3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10" fontId="5" fillId="4" borderId="0" xfId="0" applyNumberFormat="1" applyFont="1" applyFill="1"/>
    <xf numFmtId="0" fontId="6" fillId="4" borderId="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5" fillId="4" borderId="3" xfId="0" applyFont="1" applyFill="1" applyBorder="1"/>
    <xf numFmtId="165" fontId="5" fillId="4" borderId="0" xfId="0" applyNumberFormat="1" applyFont="1" applyFill="1"/>
    <xf numFmtId="166" fontId="5" fillId="4" borderId="0" xfId="0" applyNumberFormat="1" applyFont="1" applyFill="1"/>
    <xf numFmtId="165" fontId="5" fillId="4" borderId="2" xfId="0" applyNumberFormat="1" applyFont="1" applyFill="1" applyBorder="1"/>
    <xf numFmtId="166" fontId="5" fillId="4" borderId="2" xfId="0" applyNumberFormat="1" applyFont="1" applyFill="1" applyBorder="1"/>
    <xf numFmtId="170" fontId="5" fillId="0" borderId="0" xfId="2" applyNumberFormat="1" applyFont="1"/>
    <xf numFmtId="170" fontId="5" fillId="0" borderId="0" xfId="0" applyNumberFormat="1" applyFont="1"/>
    <xf numFmtId="170" fontId="5" fillId="0" borderId="4" xfId="0" applyNumberFormat="1" applyFont="1" applyBorder="1"/>
    <xf numFmtId="164" fontId="8" fillId="0" borderId="0" xfId="1" applyNumberFormat="1" applyFont="1" applyFill="1"/>
    <xf numFmtId="164" fontId="5" fillId="0" borderId="0" xfId="1" applyNumberFormat="1" applyFont="1" applyFill="1"/>
    <xf numFmtId="43" fontId="5" fillId="0" borderId="0" xfId="0" applyNumberFormat="1" applyFont="1"/>
    <xf numFmtId="8" fontId="5" fillId="6" borderId="5" xfId="2" applyNumberFormat="1" applyFont="1" applyFill="1" applyBorder="1"/>
    <xf numFmtId="171" fontId="5" fillId="6" borderId="5" xfId="2" applyNumberFormat="1" applyFont="1" applyFill="1" applyBorder="1"/>
    <xf numFmtId="171" fontId="5" fillId="6" borderId="7" xfId="2" applyNumberFormat="1" applyFont="1" applyFill="1" applyBorder="1"/>
    <xf numFmtId="164" fontId="10" fillId="0" borderId="0" xfId="1" applyNumberFormat="1" applyFont="1" applyFill="1"/>
    <xf numFmtId="167" fontId="5" fillId="0" borderId="0" xfId="0" applyNumberFormat="1" applyFont="1"/>
    <xf numFmtId="0" fontId="18" fillId="0" borderId="0" xfId="0" applyFont="1"/>
    <xf numFmtId="10" fontId="19" fillId="0" borderId="11" xfId="0" applyNumberFormat="1" applyFont="1" applyBorder="1"/>
    <xf numFmtId="8" fontId="5" fillId="0" borderId="0" xfId="0" applyNumberFormat="1" applyFont="1"/>
    <xf numFmtId="44" fontId="5" fillId="0" borderId="0" xfId="0" applyNumberFormat="1" applyFont="1"/>
    <xf numFmtId="165" fontId="5" fillId="0" borderId="0" xfId="0" applyNumberFormat="1" applyFont="1"/>
    <xf numFmtId="171" fontId="5" fillId="0" borderId="0" xfId="0" applyNumberFormat="1" applyFont="1"/>
    <xf numFmtId="0" fontId="5" fillId="0" borderId="12" xfId="0" applyFont="1" applyBorder="1"/>
    <xf numFmtId="167" fontId="5" fillId="0" borderId="12" xfId="0" applyNumberFormat="1" applyFont="1" applyBorder="1"/>
    <xf numFmtId="10" fontId="5" fillId="0" borderId="12" xfId="0" applyNumberFormat="1" applyFont="1" applyBorder="1"/>
    <xf numFmtId="0" fontId="5" fillId="6" borderId="12" xfId="0" applyFont="1" applyFill="1" applyBorder="1"/>
    <xf numFmtId="0" fontId="5" fillId="6" borderId="5" xfId="0" applyFont="1" applyFill="1" applyBorder="1"/>
    <xf numFmtId="0" fontId="5" fillId="10" borderId="5" xfId="0" applyFont="1" applyFill="1" applyBorder="1"/>
    <xf numFmtId="171" fontId="5" fillId="6" borderId="5" xfId="0" applyNumberFormat="1" applyFont="1" applyFill="1" applyBorder="1"/>
    <xf numFmtId="171" fontId="18" fillId="0" borderId="0" xfId="0" applyNumberFormat="1" applyFont="1"/>
    <xf numFmtId="43" fontId="5" fillId="10" borderId="5" xfId="0" applyNumberFormat="1" applyFont="1" applyFill="1" applyBorder="1"/>
    <xf numFmtId="1" fontId="5" fillId="4" borderId="0" xfId="0" applyNumberFormat="1" applyFont="1" applyFill="1"/>
    <xf numFmtId="43" fontId="5" fillId="4" borderId="0" xfId="0" applyNumberFormat="1" applyFont="1" applyFill="1"/>
    <xf numFmtId="172" fontId="5" fillId="4" borderId="0" xfId="0" applyNumberFormat="1" applyFont="1" applyFill="1"/>
    <xf numFmtId="0" fontId="5" fillId="9" borderId="12" xfId="0" applyFont="1" applyFill="1" applyBorder="1"/>
    <xf numFmtId="0" fontId="5" fillId="12" borderId="12" xfId="0" applyFont="1" applyFill="1" applyBorder="1"/>
    <xf numFmtId="0" fontId="6" fillId="0" borderId="5" xfId="0" applyFont="1" applyBorder="1" applyAlignment="1">
      <alignment horizontal="center"/>
    </xf>
    <xf numFmtId="164" fontId="5" fillId="0" borderId="4" xfId="1" applyNumberFormat="1" applyFont="1" applyFill="1" applyBorder="1"/>
    <xf numFmtId="0" fontId="11" fillId="4" borderId="0" xfId="0" applyFont="1" applyFill="1"/>
    <xf numFmtId="164" fontId="10" fillId="4" borderId="0" xfId="1" applyNumberFormat="1" applyFont="1" applyFill="1"/>
    <xf numFmtId="164" fontId="9" fillId="13" borderId="0" xfId="1" applyNumberFormat="1" applyFont="1" applyFill="1"/>
    <xf numFmtId="0" fontId="5" fillId="0" borderId="5" xfId="0" applyFont="1" applyBorder="1" applyAlignment="1">
      <alignment horizontal="center"/>
    </xf>
    <xf numFmtId="10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10" fontId="5" fillId="0" borderId="5" xfId="3" applyNumberFormat="1" applyFont="1" applyBorder="1" applyAlignment="1">
      <alignment horizontal="center"/>
    </xf>
    <xf numFmtId="0" fontId="5" fillId="0" borderId="5" xfId="0" applyFont="1" applyBorder="1"/>
    <xf numFmtId="44" fontId="5" fillId="0" borderId="5" xfId="2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5" fontId="5" fillId="4" borderId="5" xfId="0" applyNumberFormat="1" applyFont="1" applyFill="1" applyBorder="1" applyAlignment="1">
      <alignment horizontal="center"/>
    </xf>
    <xf numFmtId="166" fontId="5" fillId="0" borderId="5" xfId="0" applyNumberFormat="1" applyFont="1" applyBorder="1" applyAlignment="1">
      <alignment horizontal="center"/>
    </xf>
    <xf numFmtId="164" fontId="5" fillId="0" borderId="5" xfId="1" applyNumberFormat="1" applyFont="1" applyFill="1" applyBorder="1" applyAlignment="1">
      <alignment horizontal="center"/>
    </xf>
    <xf numFmtId="0" fontId="6" fillId="0" borderId="5" xfId="0" applyFont="1" applyBorder="1"/>
    <xf numFmtId="43" fontId="5" fillId="0" borderId="5" xfId="0" applyNumberFormat="1" applyFont="1" applyBorder="1"/>
    <xf numFmtId="0" fontId="6" fillId="0" borderId="8" xfId="0" applyFont="1" applyBorder="1" applyAlignment="1">
      <alignment horizontal="center"/>
    </xf>
    <xf numFmtId="43" fontId="5" fillId="0" borderId="9" xfId="0" applyNumberFormat="1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14" xfId="0" applyFont="1" applyBorder="1"/>
    <xf numFmtId="0" fontId="5" fillId="0" borderId="9" xfId="0" applyFont="1" applyBorder="1"/>
    <xf numFmtId="166" fontId="5" fillId="0" borderId="8" xfId="0" applyNumberFormat="1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5" fillId="0" borderId="13" xfId="0" applyFont="1" applyBorder="1"/>
    <xf numFmtId="0" fontId="5" fillId="0" borderId="8" xfId="0" applyFont="1" applyBorder="1"/>
    <xf numFmtId="0" fontId="6" fillId="0" borderId="9" xfId="0" applyFont="1" applyBorder="1"/>
    <xf numFmtId="0" fontId="5" fillId="0" borderId="17" xfId="0" applyFont="1" applyBorder="1"/>
    <xf numFmtId="0" fontId="6" fillId="4" borderId="5" xfId="0" applyFont="1" applyFill="1" applyBorder="1" applyAlignment="1">
      <alignment horizontal="center"/>
    </xf>
    <xf numFmtId="0" fontId="18" fillId="0" borderId="5" xfId="0" applyFont="1" applyBorder="1"/>
    <xf numFmtId="43" fontId="18" fillId="0" borderId="5" xfId="0" applyNumberFormat="1" applyFont="1" applyBorder="1"/>
    <xf numFmtId="0" fontId="7" fillId="7" borderId="0" xfId="0" applyFont="1" applyFill="1"/>
    <xf numFmtId="164" fontId="5" fillId="7" borderId="0" xfId="0" applyNumberFormat="1" applyFont="1" applyFill="1"/>
    <xf numFmtId="0" fontId="5" fillId="4" borderId="5" xfId="0" applyFont="1" applyFill="1" applyBorder="1"/>
    <xf numFmtId="172" fontId="5" fillId="4" borderId="5" xfId="0" applyNumberFormat="1" applyFont="1" applyFill="1" applyBorder="1"/>
    <xf numFmtId="0" fontId="6" fillId="4" borderId="5" xfId="0" applyFont="1" applyFill="1" applyBorder="1"/>
    <xf numFmtId="0" fontId="5" fillId="4" borderId="16" xfId="0" applyFont="1" applyFill="1" applyBorder="1"/>
    <xf numFmtId="172" fontId="5" fillId="4" borderId="16" xfId="0" applyNumberFormat="1" applyFont="1" applyFill="1" applyBorder="1"/>
    <xf numFmtId="165" fontId="5" fillId="0" borderId="5" xfId="0" applyNumberFormat="1" applyFont="1" applyBorder="1"/>
    <xf numFmtId="0" fontId="5" fillId="9" borderId="5" xfId="0" applyFont="1" applyFill="1" applyBorder="1"/>
    <xf numFmtId="0" fontId="5" fillId="11" borderId="5" xfId="0" applyFont="1" applyFill="1" applyBorder="1"/>
    <xf numFmtId="165" fontId="5" fillId="11" borderId="5" xfId="0" applyNumberFormat="1" applyFont="1" applyFill="1" applyBorder="1"/>
    <xf numFmtId="44" fontId="5" fillId="0" borderId="5" xfId="0" applyNumberFormat="1" applyFont="1" applyBorder="1"/>
    <xf numFmtId="2" fontId="5" fillId="0" borderId="5" xfId="0" applyNumberFormat="1" applyFont="1" applyBorder="1"/>
    <xf numFmtId="164" fontId="5" fillId="6" borderId="5" xfId="0" applyNumberFormat="1" applyFont="1" applyFill="1" applyBorder="1"/>
    <xf numFmtId="44" fontId="5" fillId="0" borderId="5" xfId="2" applyFont="1" applyBorder="1"/>
    <xf numFmtId="165" fontId="5" fillId="10" borderId="5" xfId="0" applyNumberFormat="1" applyFont="1" applyFill="1" applyBorder="1"/>
    <xf numFmtId="44" fontId="5" fillId="10" borderId="5" xfId="2" applyFont="1" applyFill="1" applyBorder="1"/>
    <xf numFmtId="2" fontId="5" fillId="10" borderId="5" xfId="0" applyNumberFormat="1" applyFont="1" applyFill="1" applyBorder="1"/>
    <xf numFmtId="164" fontId="5" fillId="0" borderId="5" xfId="0" applyNumberFormat="1" applyFont="1" applyBorder="1"/>
    <xf numFmtId="165" fontId="5" fillId="4" borderId="5" xfId="0" applyNumberFormat="1" applyFont="1" applyFill="1" applyBorder="1"/>
    <xf numFmtId="0" fontId="21" fillId="0" borderId="0" xfId="0" applyFont="1"/>
    <xf numFmtId="0" fontId="22" fillId="9" borderId="5" xfId="0" applyFont="1" applyFill="1" applyBorder="1"/>
    <xf numFmtId="0" fontId="11" fillId="9" borderId="5" xfId="0" applyFont="1" applyFill="1" applyBorder="1"/>
    <xf numFmtId="2" fontId="11" fillId="9" borderId="5" xfId="2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164" fontId="13" fillId="4" borderId="0" xfId="0" applyNumberFormat="1" applyFont="1" applyFill="1" applyAlignment="1">
      <alignment horizontal="center"/>
    </xf>
    <xf numFmtId="0" fontId="6" fillId="0" borderId="12" xfId="0" applyFont="1" applyBorder="1" applyAlignment="1">
      <alignment horizontal="center"/>
    </xf>
    <xf numFmtId="164" fontId="20" fillId="4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44" fontId="8" fillId="0" borderId="2" xfId="2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ECEE8"/>
      <color rgb="FFFFCC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11339</xdr:colOff>
      <xdr:row>70</xdr:row>
      <xdr:rowOff>11339</xdr:rowOff>
    </xdr:from>
    <xdr:to>
      <xdr:col>24</xdr:col>
      <xdr:colOff>90715</xdr:colOff>
      <xdr:row>78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A286FB-1A4C-80A6-D74B-93B4EE318248}"/>
            </a:ext>
          </a:extLst>
        </xdr:cNvPr>
        <xdr:cNvSpPr txBox="1"/>
      </xdr:nvSpPr>
      <xdr:spPr>
        <a:xfrm>
          <a:off x="4208292" y="13207433"/>
          <a:ext cx="14029532" cy="1506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 Cost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 equity capital is built through CAPM.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unlevering betas, the equation B</a:t>
          </a:r>
          <a:r>
            <a:rPr lang="en-US" sz="14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 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 B</a:t>
          </a:r>
          <a:r>
            <a:rPr lang="en-US" sz="14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observed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/[1 + (D/E)(1 – t)] is used.  </a:t>
          </a:r>
        </a:p>
        <a:p>
          <a:pPr lvl="0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ratios that use “days,” use 365/4 = 91.25 days for the quarter.  </a:t>
          </a:r>
        </a:p>
        <a:p>
          <a:pPr lvl="0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need to “average” inventory or other B/S items.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Ratios are projected with contemporaneous income statement items and are already considered in the “Assumptions” tab.  </a:t>
          </a:r>
        </a:p>
        <a:p>
          <a:pPr lvl="0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 When discounting, use (1+r)</a:t>
          </a:r>
          <a:r>
            <a:rPr lang="en-US" sz="14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where r = WACC in this case, and t = time.  For instance, if WACC = 10%, we would discount the first quarter’s cash flow with (1 + 10%)</a:t>
          </a:r>
          <a:r>
            <a:rPr lang="en-US" sz="14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.25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 </a:t>
          </a:r>
        </a:p>
        <a:p>
          <a:pPr lvl="0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 Assume that the business unit’s value weights are 40% Manufacturing and 60% Service.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 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aggregating the multiples, we can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ook at the median and the weighted average, but in this project only simple average is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considered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X71"/>
  <sheetViews>
    <sheetView showGridLines="0" tabSelected="1" zoomScale="64" zoomScaleNormal="8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I82" sqref="I82"/>
    </sheetView>
  </sheetViews>
  <sheetFormatPr defaultRowHeight="14.5" x14ac:dyDescent="0.35"/>
  <cols>
    <col min="1" max="4" width="1.453125" customWidth="1"/>
    <col min="5" max="5" width="54.453125" customWidth="1"/>
    <col min="6" max="24" width="10.453125" bestFit="1" customWidth="1"/>
  </cols>
  <sheetData>
    <row r="1" spans="1:24" x14ac:dyDescent="0.35">
      <c r="A1" s="2" t="s">
        <v>0</v>
      </c>
    </row>
    <row r="2" spans="1:24" x14ac:dyDescent="0.35"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</row>
    <row r="3" spans="1:24" x14ac:dyDescent="0.35"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</row>
    <row r="4" spans="1:24" x14ac:dyDescent="0.35">
      <c r="B4" s="9" t="s">
        <v>21</v>
      </c>
    </row>
    <row r="5" spans="1:24" x14ac:dyDescent="0.35">
      <c r="C5" t="s">
        <v>22</v>
      </c>
      <c r="F5" s="80">
        <v>9204</v>
      </c>
      <c r="G5" s="8">
        <v>8142</v>
      </c>
      <c r="H5" s="8">
        <v>10237.5</v>
      </c>
      <c r="I5" s="8">
        <v>8642</v>
      </c>
      <c r="J5" s="8">
        <v>10584.599999999999</v>
      </c>
      <c r="K5" s="8">
        <v>9281.880000000001</v>
      </c>
      <c r="L5" s="8">
        <v>11568.374999999998</v>
      </c>
      <c r="M5" s="8">
        <v>9679.0400000000009</v>
      </c>
      <c r="N5" s="8">
        <v>11748.905999999999</v>
      </c>
      <c r="O5" s="8">
        <v>10210.068000000001</v>
      </c>
      <c r="P5" s="8">
        <v>12609.528750000001</v>
      </c>
      <c r="Q5" s="8">
        <v>10453.363200000003</v>
      </c>
      <c r="R5" s="8">
        <v>12571.32942</v>
      </c>
      <c r="S5" s="8">
        <v>10822.672080000002</v>
      </c>
      <c r="T5" s="8">
        <v>13240.005187500003</v>
      </c>
      <c r="U5" s="8">
        <v>10871.497728000004</v>
      </c>
      <c r="V5" s="8">
        <v>12948.4693026</v>
      </c>
      <c r="W5" s="8">
        <v>11039.125521600003</v>
      </c>
      <c r="X5" s="8">
        <v>13372.405239375003</v>
      </c>
    </row>
    <row r="6" spans="1:24" x14ac:dyDescent="0.35">
      <c r="C6" t="s">
        <v>23</v>
      </c>
      <c r="F6">
        <v>75</v>
      </c>
      <c r="G6">
        <v>75</v>
      </c>
      <c r="H6">
        <v>75</v>
      </c>
      <c r="I6">
        <v>77.5</v>
      </c>
      <c r="J6">
        <v>77.5</v>
      </c>
      <c r="K6">
        <v>77.5</v>
      </c>
      <c r="L6">
        <v>77.5</v>
      </c>
      <c r="M6">
        <v>77.5</v>
      </c>
      <c r="N6">
        <v>77.5</v>
      </c>
      <c r="O6">
        <v>77.5</v>
      </c>
      <c r="P6">
        <v>77.5</v>
      </c>
      <c r="Q6">
        <v>79</v>
      </c>
      <c r="R6">
        <v>79</v>
      </c>
      <c r="S6">
        <v>79</v>
      </c>
      <c r="T6">
        <v>79</v>
      </c>
      <c r="U6">
        <v>79</v>
      </c>
      <c r="V6">
        <v>79</v>
      </c>
      <c r="W6">
        <v>79</v>
      </c>
      <c r="X6">
        <v>79</v>
      </c>
    </row>
    <row r="8" spans="1:24" x14ac:dyDescent="0.35">
      <c r="C8" t="s">
        <v>24</v>
      </c>
    </row>
    <row r="9" spans="1:24" x14ac:dyDescent="0.35">
      <c r="D9" t="s">
        <v>25</v>
      </c>
      <c r="F9">
        <v>17.350000000000001</v>
      </c>
      <c r="G9">
        <v>17.350000000000001</v>
      </c>
      <c r="H9">
        <v>17.350000000000001</v>
      </c>
      <c r="I9" s="10">
        <v>17</v>
      </c>
      <c r="J9" s="10">
        <v>17</v>
      </c>
      <c r="K9" s="10">
        <v>17</v>
      </c>
      <c r="L9" s="10">
        <v>17</v>
      </c>
      <c r="M9">
        <v>16.850000000000001</v>
      </c>
      <c r="N9">
        <v>16.850000000000001</v>
      </c>
      <c r="O9">
        <v>16.850000000000001</v>
      </c>
      <c r="P9">
        <v>16.850000000000001</v>
      </c>
      <c r="Q9" s="10">
        <v>16.5</v>
      </c>
      <c r="R9" s="10">
        <v>16.5</v>
      </c>
      <c r="S9" s="10">
        <v>16.5</v>
      </c>
      <c r="T9" s="10">
        <v>16.5</v>
      </c>
      <c r="U9" s="10">
        <v>16.5</v>
      </c>
      <c r="V9" s="10">
        <v>16.5</v>
      </c>
      <c r="W9" s="10">
        <v>16.5</v>
      </c>
      <c r="X9" s="10">
        <v>16.5</v>
      </c>
    </row>
    <row r="11" spans="1:24" x14ac:dyDescent="0.35">
      <c r="C11" t="s">
        <v>26</v>
      </c>
    </row>
    <row r="12" spans="1:24" x14ac:dyDescent="0.35">
      <c r="D12" t="s">
        <v>27</v>
      </c>
      <c r="F12" s="8">
        <v>12000</v>
      </c>
      <c r="G12" s="8">
        <v>12000</v>
      </c>
      <c r="H12" s="8">
        <v>12000</v>
      </c>
      <c r="I12" s="8">
        <v>12200</v>
      </c>
      <c r="J12" s="8">
        <v>12200</v>
      </c>
      <c r="K12" s="8">
        <v>12200</v>
      </c>
      <c r="L12" s="8">
        <v>12200</v>
      </c>
      <c r="M12" s="8">
        <v>12500</v>
      </c>
      <c r="N12" s="8">
        <v>12500</v>
      </c>
      <c r="O12" s="8">
        <v>12500</v>
      </c>
      <c r="P12" s="8">
        <v>12500</v>
      </c>
      <c r="Q12" s="8">
        <v>13000</v>
      </c>
      <c r="R12" s="8">
        <v>13000</v>
      </c>
      <c r="S12" s="8">
        <v>13000</v>
      </c>
      <c r="T12" s="8">
        <v>13000</v>
      </c>
      <c r="U12" s="8">
        <v>13000</v>
      </c>
      <c r="V12" s="8">
        <v>13000</v>
      </c>
      <c r="W12" s="8">
        <v>13000</v>
      </c>
      <c r="X12" s="8">
        <v>13000</v>
      </c>
    </row>
    <row r="13" spans="1:24" x14ac:dyDescent="0.35">
      <c r="D13" t="s">
        <v>28</v>
      </c>
      <c r="F13" s="5">
        <v>0.125</v>
      </c>
      <c r="G13" s="5">
        <v>0.125</v>
      </c>
      <c r="H13" s="5">
        <v>0.125</v>
      </c>
      <c r="I13" s="5">
        <v>0.125</v>
      </c>
      <c r="J13" s="5">
        <v>0.125</v>
      </c>
      <c r="K13" s="5">
        <v>0.125</v>
      </c>
      <c r="L13" s="5">
        <v>0.125</v>
      </c>
      <c r="M13" s="5">
        <v>0.125</v>
      </c>
      <c r="N13" s="5">
        <v>0.125</v>
      </c>
      <c r="O13" s="5">
        <v>0.125</v>
      </c>
      <c r="P13" s="5">
        <v>0.125</v>
      </c>
      <c r="Q13" s="5">
        <v>0.125</v>
      </c>
      <c r="R13" s="5">
        <v>0.125</v>
      </c>
      <c r="S13" s="5">
        <v>0.125</v>
      </c>
      <c r="T13" s="5">
        <v>0.125</v>
      </c>
      <c r="U13" s="5">
        <v>0.125</v>
      </c>
      <c r="V13" s="5">
        <v>0.125</v>
      </c>
      <c r="W13" s="5">
        <v>0.125</v>
      </c>
      <c r="X13" s="5">
        <v>0.125</v>
      </c>
    </row>
    <row r="15" spans="1:24" x14ac:dyDescent="0.35">
      <c r="C15" t="s">
        <v>29</v>
      </c>
    </row>
    <row r="16" spans="1:24" x14ac:dyDescent="0.35">
      <c r="D16" t="s">
        <v>30</v>
      </c>
      <c r="F16" s="7">
        <v>0</v>
      </c>
      <c r="G16" s="7">
        <v>0</v>
      </c>
      <c r="H16" s="7">
        <v>2</v>
      </c>
      <c r="I16" s="7">
        <v>0</v>
      </c>
      <c r="J16" s="7">
        <v>0</v>
      </c>
      <c r="K16" s="7">
        <v>0</v>
      </c>
      <c r="L16" s="7">
        <v>2</v>
      </c>
      <c r="M16" s="7">
        <v>0</v>
      </c>
      <c r="N16" s="7">
        <v>0</v>
      </c>
      <c r="O16" s="7">
        <v>0</v>
      </c>
      <c r="P16" s="7">
        <v>1</v>
      </c>
      <c r="Q16" s="7">
        <v>0</v>
      </c>
      <c r="R16" s="7">
        <v>0</v>
      </c>
      <c r="S16" s="7">
        <v>0</v>
      </c>
      <c r="T16" s="7">
        <v>1</v>
      </c>
      <c r="U16" s="7">
        <v>0</v>
      </c>
      <c r="V16" s="7"/>
      <c r="W16" s="7">
        <v>0</v>
      </c>
      <c r="X16" s="7">
        <v>1</v>
      </c>
    </row>
    <row r="17" spans="2:24" x14ac:dyDescent="0.35">
      <c r="D17" t="s">
        <v>31</v>
      </c>
      <c r="F17" s="8">
        <v>52000</v>
      </c>
      <c r="G17" s="8">
        <v>52000</v>
      </c>
      <c r="H17" s="8">
        <v>52000</v>
      </c>
      <c r="I17" s="8">
        <v>52000</v>
      </c>
      <c r="J17" s="8">
        <v>52000</v>
      </c>
      <c r="K17" s="8">
        <v>52000</v>
      </c>
      <c r="L17" s="8">
        <v>52000</v>
      </c>
      <c r="M17" s="8">
        <v>52000</v>
      </c>
      <c r="N17" s="8">
        <v>52000</v>
      </c>
      <c r="O17" s="8">
        <v>52000</v>
      </c>
      <c r="P17" s="8">
        <v>52000</v>
      </c>
      <c r="Q17" s="8">
        <v>52000</v>
      </c>
      <c r="R17" s="8">
        <v>52000</v>
      </c>
      <c r="S17" s="8">
        <v>52000</v>
      </c>
      <c r="T17" s="8">
        <v>52000</v>
      </c>
      <c r="U17" s="8">
        <v>52000</v>
      </c>
      <c r="V17" s="8">
        <v>52000</v>
      </c>
      <c r="W17" s="8">
        <v>52000</v>
      </c>
      <c r="X17" s="8">
        <v>52000</v>
      </c>
    </row>
    <row r="18" spans="2:24" x14ac:dyDescent="0.35">
      <c r="D18" t="s">
        <v>32</v>
      </c>
      <c r="F18" s="5">
        <f t="shared" ref="F18:X18" si="0">14%/4</f>
        <v>3.5000000000000003E-2</v>
      </c>
      <c r="G18" s="5">
        <f t="shared" si="0"/>
        <v>3.5000000000000003E-2</v>
      </c>
      <c r="H18" s="5">
        <f t="shared" si="0"/>
        <v>3.5000000000000003E-2</v>
      </c>
      <c r="I18" s="5">
        <f t="shared" si="0"/>
        <v>3.5000000000000003E-2</v>
      </c>
      <c r="J18" s="5">
        <f t="shared" si="0"/>
        <v>3.5000000000000003E-2</v>
      </c>
      <c r="K18" s="5">
        <f t="shared" si="0"/>
        <v>3.5000000000000003E-2</v>
      </c>
      <c r="L18" s="5">
        <f t="shared" si="0"/>
        <v>3.5000000000000003E-2</v>
      </c>
      <c r="M18" s="5">
        <f t="shared" si="0"/>
        <v>3.5000000000000003E-2</v>
      </c>
      <c r="N18" s="5">
        <f t="shared" si="0"/>
        <v>3.5000000000000003E-2</v>
      </c>
      <c r="O18" s="5">
        <f t="shared" si="0"/>
        <v>3.5000000000000003E-2</v>
      </c>
      <c r="P18" s="5">
        <f t="shared" si="0"/>
        <v>3.5000000000000003E-2</v>
      </c>
      <c r="Q18" s="5">
        <f t="shared" si="0"/>
        <v>3.5000000000000003E-2</v>
      </c>
      <c r="R18" s="5">
        <f t="shared" si="0"/>
        <v>3.5000000000000003E-2</v>
      </c>
      <c r="S18" s="5">
        <f t="shared" si="0"/>
        <v>3.5000000000000003E-2</v>
      </c>
      <c r="T18" s="5">
        <f t="shared" si="0"/>
        <v>3.5000000000000003E-2</v>
      </c>
      <c r="U18" s="5">
        <f t="shared" si="0"/>
        <v>3.5000000000000003E-2</v>
      </c>
      <c r="V18" s="5">
        <f t="shared" si="0"/>
        <v>3.5000000000000003E-2</v>
      </c>
      <c r="W18" s="5">
        <f t="shared" si="0"/>
        <v>3.5000000000000003E-2</v>
      </c>
      <c r="X18" s="5">
        <f t="shared" si="0"/>
        <v>3.5000000000000003E-2</v>
      </c>
    </row>
    <row r="19" spans="2:24" x14ac:dyDescent="0.35"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2:24" x14ac:dyDescent="0.35">
      <c r="C20" t="s">
        <v>33</v>
      </c>
      <c r="F20" s="8">
        <v>4000000</v>
      </c>
      <c r="G20" s="8">
        <v>4000000</v>
      </c>
      <c r="H20" s="8">
        <v>4000000</v>
      </c>
      <c r="I20" s="8">
        <v>4000000</v>
      </c>
      <c r="J20" s="8">
        <v>4300000</v>
      </c>
      <c r="K20" s="8">
        <v>4300000</v>
      </c>
      <c r="L20" s="8">
        <v>4300000</v>
      </c>
      <c r="M20" s="8">
        <v>4300000</v>
      </c>
      <c r="N20" s="8">
        <v>4600000</v>
      </c>
      <c r="O20" s="8">
        <v>4600000</v>
      </c>
      <c r="P20" s="8">
        <v>4600000</v>
      </c>
      <c r="Q20" s="8">
        <v>4600000</v>
      </c>
      <c r="R20" s="8">
        <v>5000000</v>
      </c>
      <c r="S20" s="8">
        <v>5000000</v>
      </c>
      <c r="T20" s="8">
        <v>5000000</v>
      </c>
      <c r="U20" s="8">
        <v>5000000</v>
      </c>
      <c r="V20" s="8">
        <v>5500000</v>
      </c>
      <c r="W20" s="8">
        <v>5500000</v>
      </c>
      <c r="X20" s="8">
        <v>5500000</v>
      </c>
    </row>
    <row r="21" spans="2:24" x14ac:dyDescent="0.35">
      <c r="D21" t="s">
        <v>34</v>
      </c>
      <c r="F21" s="12">
        <f t="shared" ref="F21:X21" si="1">1/15/4</f>
        <v>1.6666666666666666E-2</v>
      </c>
      <c r="G21" s="12">
        <f t="shared" si="1"/>
        <v>1.6666666666666666E-2</v>
      </c>
      <c r="H21" s="12">
        <f t="shared" si="1"/>
        <v>1.6666666666666666E-2</v>
      </c>
      <c r="I21" s="12">
        <f t="shared" si="1"/>
        <v>1.6666666666666666E-2</v>
      </c>
      <c r="J21" s="12">
        <f t="shared" si="1"/>
        <v>1.6666666666666666E-2</v>
      </c>
      <c r="K21" s="12">
        <f t="shared" si="1"/>
        <v>1.6666666666666666E-2</v>
      </c>
      <c r="L21" s="12">
        <f t="shared" si="1"/>
        <v>1.6666666666666666E-2</v>
      </c>
      <c r="M21" s="12">
        <f t="shared" si="1"/>
        <v>1.6666666666666666E-2</v>
      </c>
      <c r="N21" s="12">
        <f t="shared" si="1"/>
        <v>1.6666666666666666E-2</v>
      </c>
      <c r="O21" s="12">
        <f t="shared" si="1"/>
        <v>1.6666666666666666E-2</v>
      </c>
      <c r="P21" s="12">
        <f t="shared" si="1"/>
        <v>1.6666666666666666E-2</v>
      </c>
      <c r="Q21" s="12">
        <f t="shared" si="1"/>
        <v>1.6666666666666666E-2</v>
      </c>
      <c r="R21" s="12">
        <f t="shared" si="1"/>
        <v>1.6666666666666666E-2</v>
      </c>
      <c r="S21" s="12">
        <f t="shared" si="1"/>
        <v>1.6666666666666666E-2</v>
      </c>
      <c r="T21" s="12">
        <f t="shared" si="1"/>
        <v>1.6666666666666666E-2</v>
      </c>
      <c r="U21" s="12">
        <f t="shared" si="1"/>
        <v>1.6666666666666666E-2</v>
      </c>
      <c r="V21" s="12">
        <f t="shared" si="1"/>
        <v>1.6666666666666666E-2</v>
      </c>
      <c r="W21" s="12">
        <f t="shared" si="1"/>
        <v>1.6666666666666666E-2</v>
      </c>
      <c r="X21" s="12">
        <f t="shared" si="1"/>
        <v>1.6666666666666666E-2</v>
      </c>
    </row>
    <row r="23" spans="2:24" x14ac:dyDescent="0.35">
      <c r="C23" t="s">
        <v>35</v>
      </c>
    </row>
    <row r="24" spans="2:24" x14ac:dyDescent="0.35">
      <c r="D24" t="s">
        <v>36</v>
      </c>
      <c r="F24" s="6">
        <v>0.09</v>
      </c>
      <c r="G24" s="6">
        <v>0.09</v>
      </c>
      <c r="H24" s="6">
        <v>0.09</v>
      </c>
      <c r="I24" s="6">
        <v>0.09</v>
      </c>
      <c r="J24" s="6">
        <v>0.09</v>
      </c>
      <c r="K24" s="6">
        <v>0.09</v>
      </c>
      <c r="L24" s="6">
        <v>0.09</v>
      </c>
      <c r="M24" s="6">
        <v>0.09</v>
      </c>
      <c r="N24" s="6">
        <v>0.09</v>
      </c>
      <c r="O24" s="6">
        <v>0.09</v>
      </c>
      <c r="P24" s="6">
        <v>0.09</v>
      </c>
      <c r="Q24" s="6">
        <v>0.09</v>
      </c>
      <c r="R24" s="6">
        <v>0.09</v>
      </c>
      <c r="S24" s="6">
        <v>0.09</v>
      </c>
      <c r="T24" s="6">
        <v>0.09</v>
      </c>
      <c r="U24" s="6">
        <v>0.09</v>
      </c>
      <c r="V24" s="6">
        <v>0.09</v>
      </c>
      <c r="W24" s="6">
        <v>0.09</v>
      </c>
      <c r="X24" s="6">
        <v>0.09</v>
      </c>
    </row>
    <row r="25" spans="2:24" x14ac:dyDescent="0.35">
      <c r="D25" t="s">
        <v>37</v>
      </c>
      <c r="F25" s="8">
        <v>74</v>
      </c>
      <c r="G25" s="8">
        <v>74</v>
      </c>
      <c r="H25" s="8">
        <v>74</v>
      </c>
      <c r="I25" s="8">
        <v>74</v>
      </c>
      <c r="J25" s="8">
        <v>73</v>
      </c>
      <c r="K25" s="8">
        <v>73</v>
      </c>
      <c r="L25" s="8">
        <v>73</v>
      </c>
      <c r="M25" s="8">
        <v>73</v>
      </c>
      <c r="N25" s="8">
        <v>73</v>
      </c>
      <c r="O25" s="8">
        <v>73</v>
      </c>
      <c r="P25" s="8">
        <v>73</v>
      </c>
      <c r="Q25" s="8">
        <v>72</v>
      </c>
      <c r="R25" s="8">
        <v>72</v>
      </c>
      <c r="S25" s="8">
        <v>72</v>
      </c>
      <c r="T25" s="8">
        <v>72</v>
      </c>
      <c r="U25" s="8">
        <v>72</v>
      </c>
      <c r="V25" s="8">
        <v>72</v>
      </c>
      <c r="W25" s="8">
        <v>72</v>
      </c>
      <c r="X25" s="8">
        <v>72</v>
      </c>
    </row>
    <row r="26" spans="2:24" x14ac:dyDescent="0.35">
      <c r="D26" t="s">
        <v>38</v>
      </c>
      <c r="F26" s="8">
        <v>32</v>
      </c>
      <c r="G26" s="8">
        <v>32</v>
      </c>
      <c r="H26" s="8">
        <v>32</v>
      </c>
      <c r="I26" s="8">
        <v>32</v>
      </c>
      <c r="J26" s="8">
        <v>32</v>
      </c>
      <c r="K26" s="8">
        <v>32</v>
      </c>
      <c r="L26" s="8">
        <v>32</v>
      </c>
      <c r="M26" s="8">
        <v>32</v>
      </c>
      <c r="N26" s="8">
        <v>32</v>
      </c>
      <c r="O26" s="8">
        <v>32</v>
      </c>
      <c r="P26" s="8">
        <v>32</v>
      </c>
      <c r="Q26" s="8">
        <v>32</v>
      </c>
      <c r="R26" s="8">
        <v>32</v>
      </c>
      <c r="S26" s="8">
        <v>32</v>
      </c>
      <c r="T26" s="8">
        <v>32</v>
      </c>
      <c r="U26" s="8">
        <v>32</v>
      </c>
      <c r="V26" s="8">
        <v>32</v>
      </c>
      <c r="W26" s="8">
        <v>32</v>
      </c>
      <c r="X26" s="8">
        <v>32</v>
      </c>
    </row>
    <row r="27" spans="2:24" x14ac:dyDescent="0.35">
      <c r="D27" t="s">
        <v>39</v>
      </c>
      <c r="F27" s="8">
        <v>10</v>
      </c>
      <c r="G27" s="8">
        <v>10</v>
      </c>
      <c r="H27" s="8">
        <v>10</v>
      </c>
      <c r="I27" s="8">
        <v>11</v>
      </c>
      <c r="J27" s="8">
        <v>11</v>
      </c>
      <c r="K27" s="8">
        <v>12</v>
      </c>
      <c r="L27" s="8">
        <v>12</v>
      </c>
      <c r="M27" s="8">
        <v>13</v>
      </c>
      <c r="N27" s="8">
        <v>13</v>
      </c>
      <c r="O27" s="8">
        <v>14</v>
      </c>
      <c r="P27" s="8">
        <v>14</v>
      </c>
      <c r="Q27" s="8">
        <v>15</v>
      </c>
      <c r="R27" s="8">
        <v>15</v>
      </c>
      <c r="S27" s="8">
        <v>15</v>
      </c>
      <c r="T27" s="8">
        <v>15</v>
      </c>
      <c r="U27" s="8">
        <v>15</v>
      </c>
      <c r="V27" s="8">
        <v>15</v>
      </c>
      <c r="W27" s="8">
        <v>15</v>
      </c>
      <c r="X27" s="8">
        <v>15</v>
      </c>
    </row>
    <row r="28" spans="2:24" x14ac:dyDescent="0.3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2:24" x14ac:dyDescent="0.35">
      <c r="B29" s="9" t="s">
        <v>40</v>
      </c>
    </row>
    <row r="30" spans="2:24" x14ac:dyDescent="0.35">
      <c r="C30" t="s">
        <v>41</v>
      </c>
      <c r="F30" s="8">
        <v>125</v>
      </c>
      <c r="G30" s="8">
        <v>125</v>
      </c>
      <c r="H30" s="8">
        <v>125</v>
      </c>
      <c r="I30" s="8">
        <v>131</v>
      </c>
      <c r="J30" s="8">
        <v>131</v>
      </c>
      <c r="K30" s="8">
        <v>131</v>
      </c>
      <c r="L30" s="8">
        <v>131</v>
      </c>
      <c r="M30" s="8">
        <v>134</v>
      </c>
      <c r="N30" s="8">
        <v>134</v>
      </c>
      <c r="O30" s="8">
        <v>134</v>
      </c>
      <c r="P30" s="8">
        <v>134</v>
      </c>
      <c r="Q30" s="8">
        <v>134</v>
      </c>
      <c r="R30" s="8">
        <v>134</v>
      </c>
      <c r="S30" s="8">
        <v>134</v>
      </c>
      <c r="T30" s="8">
        <v>134</v>
      </c>
      <c r="U30" s="8">
        <v>134</v>
      </c>
      <c r="V30" s="8">
        <v>134</v>
      </c>
      <c r="W30" s="8">
        <v>134</v>
      </c>
      <c r="X30" s="8">
        <v>134</v>
      </c>
    </row>
    <row r="31" spans="2:24" x14ac:dyDescent="0.35">
      <c r="C31" t="s">
        <v>42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2:24" x14ac:dyDescent="0.35">
      <c r="D32" t="s">
        <v>43</v>
      </c>
      <c r="F32" s="8">
        <v>225</v>
      </c>
      <c r="G32" s="8">
        <v>215</v>
      </c>
      <c r="H32" s="8">
        <v>205</v>
      </c>
      <c r="I32" s="8">
        <v>195</v>
      </c>
      <c r="J32" s="8">
        <v>190</v>
      </c>
      <c r="K32" s="8">
        <v>185</v>
      </c>
      <c r="L32" s="8">
        <v>180</v>
      </c>
      <c r="M32" s="8">
        <v>170</v>
      </c>
      <c r="N32" s="8">
        <v>170</v>
      </c>
      <c r="O32" s="8">
        <v>170</v>
      </c>
      <c r="P32" s="8">
        <v>170</v>
      </c>
      <c r="Q32" s="8">
        <v>160</v>
      </c>
      <c r="R32" s="8">
        <v>160</v>
      </c>
      <c r="S32" s="8">
        <v>160</v>
      </c>
      <c r="T32" s="8">
        <v>160</v>
      </c>
      <c r="U32" s="8">
        <v>150</v>
      </c>
      <c r="V32" s="8">
        <v>150</v>
      </c>
      <c r="W32" s="8">
        <v>150</v>
      </c>
      <c r="X32" s="8">
        <v>150</v>
      </c>
    </row>
    <row r="33" spans="3:24" x14ac:dyDescent="0.35">
      <c r="D33" t="s">
        <v>44</v>
      </c>
      <c r="F33" s="11">
        <v>0.12</v>
      </c>
      <c r="G33" s="11">
        <v>0.12</v>
      </c>
      <c r="H33" s="11">
        <v>0.12</v>
      </c>
      <c r="I33" s="11">
        <v>0.11</v>
      </c>
      <c r="J33" s="11">
        <v>0.11</v>
      </c>
      <c r="K33" s="11">
        <v>0.11</v>
      </c>
      <c r="L33" s="11">
        <v>0.11</v>
      </c>
      <c r="M33" s="11">
        <v>0.1</v>
      </c>
      <c r="N33" s="11">
        <v>0.1</v>
      </c>
      <c r="O33" s="11">
        <v>0.1</v>
      </c>
      <c r="P33" s="11">
        <v>0.1</v>
      </c>
      <c r="Q33" s="11">
        <v>0.09</v>
      </c>
      <c r="R33" s="11">
        <v>0.09</v>
      </c>
      <c r="S33" s="11">
        <v>0.09</v>
      </c>
      <c r="T33" s="11">
        <v>0.09</v>
      </c>
      <c r="U33" s="11">
        <v>8.5000000000000006E-2</v>
      </c>
      <c r="V33" s="11">
        <v>8.5000000000000006E-2</v>
      </c>
      <c r="W33" s="11">
        <v>8.5000000000000006E-2</v>
      </c>
      <c r="X33" s="11">
        <v>8.5000000000000006E-2</v>
      </c>
    </row>
    <row r="35" spans="3:24" x14ac:dyDescent="0.35">
      <c r="C35" t="s">
        <v>45</v>
      </c>
      <c r="F35" s="8">
        <v>70</v>
      </c>
      <c r="G35" s="8">
        <v>70</v>
      </c>
      <c r="H35" s="8">
        <v>70</v>
      </c>
      <c r="I35" s="8">
        <v>72</v>
      </c>
      <c r="J35" s="8">
        <v>72</v>
      </c>
      <c r="K35" s="8">
        <v>72</v>
      </c>
      <c r="L35" s="8">
        <v>72</v>
      </c>
      <c r="M35" s="8">
        <v>74</v>
      </c>
      <c r="N35" s="8">
        <v>74</v>
      </c>
      <c r="O35" s="8">
        <v>74</v>
      </c>
      <c r="P35" s="8">
        <v>74</v>
      </c>
      <c r="Q35" s="8">
        <v>76</v>
      </c>
      <c r="R35" s="8">
        <v>76</v>
      </c>
      <c r="S35" s="8">
        <v>76</v>
      </c>
      <c r="T35" s="8">
        <v>76</v>
      </c>
      <c r="U35" s="8">
        <v>76</v>
      </c>
      <c r="V35" s="8">
        <v>76</v>
      </c>
      <c r="W35" s="8">
        <v>76</v>
      </c>
      <c r="X35" s="8">
        <v>76</v>
      </c>
    </row>
    <row r="37" spans="3:24" x14ac:dyDescent="0.35">
      <c r="C37" t="s">
        <v>26</v>
      </c>
    </row>
    <row r="38" spans="3:24" x14ac:dyDescent="0.35">
      <c r="D38" t="s">
        <v>46</v>
      </c>
      <c r="F38" s="8">
        <v>300000</v>
      </c>
      <c r="G38" s="8">
        <v>318000</v>
      </c>
      <c r="H38" s="8">
        <v>318000</v>
      </c>
      <c r="I38" s="8">
        <v>316500</v>
      </c>
      <c r="J38" s="8">
        <v>316500</v>
      </c>
      <c r="K38" s="8">
        <v>335490</v>
      </c>
      <c r="L38" s="8">
        <v>335490</v>
      </c>
      <c r="M38" s="8">
        <v>332325</v>
      </c>
      <c r="N38" s="8">
        <v>332325</v>
      </c>
      <c r="O38" s="8">
        <v>352264.5</v>
      </c>
      <c r="P38" s="8">
        <v>352264.5</v>
      </c>
      <c r="Q38" s="8">
        <v>347279.625</v>
      </c>
      <c r="R38" s="8">
        <v>347279.625</v>
      </c>
      <c r="S38" s="8">
        <v>368116.40249999997</v>
      </c>
      <c r="T38" s="8">
        <v>368116.40249999997</v>
      </c>
      <c r="U38" s="8">
        <v>361170.81</v>
      </c>
      <c r="V38" s="8">
        <v>361170.81</v>
      </c>
      <c r="W38" s="8">
        <v>382841.05859999999</v>
      </c>
      <c r="X38" s="8">
        <v>382841.05859999999</v>
      </c>
    </row>
    <row r="39" spans="3:24" x14ac:dyDescent="0.35">
      <c r="D39" t="s">
        <v>47</v>
      </c>
      <c r="F39" s="8">
        <v>10000</v>
      </c>
      <c r="G39" s="8">
        <v>12000</v>
      </c>
      <c r="H39" s="8">
        <v>12000</v>
      </c>
      <c r="I39" s="8">
        <v>12000</v>
      </c>
      <c r="J39" s="8">
        <v>12000</v>
      </c>
      <c r="K39" s="8">
        <v>12000</v>
      </c>
      <c r="L39" s="8">
        <v>12000</v>
      </c>
      <c r="M39" s="8">
        <v>15000</v>
      </c>
      <c r="N39" s="8">
        <v>15000</v>
      </c>
      <c r="O39" s="8">
        <v>15000</v>
      </c>
      <c r="P39" s="8">
        <v>15000</v>
      </c>
      <c r="Q39" s="8">
        <v>20000</v>
      </c>
      <c r="R39" s="8">
        <v>20000</v>
      </c>
      <c r="S39" s="8">
        <v>20000</v>
      </c>
      <c r="T39" s="8">
        <v>20000</v>
      </c>
      <c r="U39" s="8">
        <v>25000</v>
      </c>
      <c r="V39" s="8">
        <v>25000</v>
      </c>
      <c r="W39" s="8">
        <v>25000</v>
      </c>
      <c r="X39" s="8">
        <v>25000</v>
      </c>
    </row>
    <row r="40" spans="3:24" x14ac:dyDescent="0.35"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3:24" x14ac:dyDescent="0.35">
      <c r="C41" t="s">
        <v>48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3:24" x14ac:dyDescent="0.35">
      <c r="D42" t="s">
        <v>49</v>
      </c>
      <c r="F42" s="8">
        <v>67</v>
      </c>
      <c r="G42" s="8">
        <v>67</v>
      </c>
      <c r="H42" s="8">
        <v>67</v>
      </c>
      <c r="I42" s="8">
        <v>69</v>
      </c>
      <c r="J42" s="8">
        <v>69</v>
      </c>
      <c r="K42" s="8">
        <v>69</v>
      </c>
      <c r="L42" s="8">
        <v>69</v>
      </c>
      <c r="M42" s="8">
        <v>71</v>
      </c>
      <c r="N42" s="8">
        <v>71</v>
      </c>
      <c r="O42" s="8">
        <v>71</v>
      </c>
      <c r="P42" s="8">
        <v>71</v>
      </c>
      <c r="Q42" s="8">
        <v>75</v>
      </c>
      <c r="R42" s="8">
        <v>75</v>
      </c>
      <c r="S42" s="8">
        <v>75</v>
      </c>
      <c r="T42" s="8">
        <v>75</v>
      </c>
      <c r="U42" s="8">
        <v>75</v>
      </c>
      <c r="V42" s="8">
        <v>75</v>
      </c>
      <c r="W42" s="8">
        <v>75</v>
      </c>
      <c r="X42" s="8">
        <v>75</v>
      </c>
    </row>
    <row r="43" spans="3:24" x14ac:dyDescent="0.35">
      <c r="D43" t="s">
        <v>50</v>
      </c>
      <c r="F43" s="6">
        <v>0.8</v>
      </c>
      <c r="G43" s="6">
        <v>0.8</v>
      </c>
      <c r="H43" s="6">
        <v>0.8</v>
      </c>
      <c r="I43" s="6">
        <v>0.8</v>
      </c>
      <c r="J43" s="6">
        <v>0.8</v>
      </c>
      <c r="K43" s="6">
        <v>0.8</v>
      </c>
      <c r="L43" s="6">
        <v>0.8</v>
      </c>
      <c r="M43" s="6">
        <v>0.8</v>
      </c>
      <c r="N43" s="6">
        <v>0.8</v>
      </c>
      <c r="O43" s="6">
        <v>0.8</v>
      </c>
      <c r="P43" s="6">
        <v>0.8</v>
      </c>
      <c r="Q43" s="6">
        <v>0.8</v>
      </c>
      <c r="R43" s="6">
        <v>0.8</v>
      </c>
      <c r="S43" s="6">
        <v>0.8</v>
      </c>
      <c r="T43" s="6">
        <v>0.8</v>
      </c>
      <c r="U43" s="6">
        <v>0.8</v>
      </c>
      <c r="V43" s="6">
        <v>0.8</v>
      </c>
      <c r="W43" s="6">
        <v>0.8</v>
      </c>
      <c r="X43" s="6">
        <v>0.8</v>
      </c>
    </row>
    <row r="44" spans="3:24" x14ac:dyDescent="0.35"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3:24" x14ac:dyDescent="0.35">
      <c r="C45" t="s">
        <v>51</v>
      </c>
      <c r="F45" s="5">
        <f t="shared" ref="F45:X45" si="2">8%/4</f>
        <v>0.02</v>
      </c>
      <c r="G45" s="5">
        <f t="shared" si="2"/>
        <v>0.02</v>
      </c>
      <c r="H45" s="5">
        <f t="shared" si="2"/>
        <v>0.02</v>
      </c>
      <c r="I45" s="5">
        <f t="shared" si="2"/>
        <v>0.02</v>
      </c>
      <c r="J45" s="5">
        <f t="shared" si="2"/>
        <v>0.02</v>
      </c>
      <c r="K45" s="5">
        <f t="shared" si="2"/>
        <v>0.02</v>
      </c>
      <c r="L45" s="5">
        <f t="shared" si="2"/>
        <v>0.02</v>
      </c>
      <c r="M45" s="5">
        <f t="shared" si="2"/>
        <v>0.02</v>
      </c>
      <c r="N45" s="5">
        <f t="shared" si="2"/>
        <v>0.02</v>
      </c>
      <c r="O45" s="5">
        <f t="shared" si="2"/>
        <v>0.02</v>
      </c>
      <c r="P45" s="5">
        <f t="shared" si="2"/>
        <v>0.02</v>
      </c>
      <c r="Q45" s="5">
        <f t="shared" si="2"/>
        <v>0.02</v>
      </c>
      <c r="R45" s="5">
        <f t="shared" si="2"/>
        <v>0.02</v>
      </c>
      <c r="S45" s="5">
        <f t="shared" si="2"/>
        <v>0.02</v>
      </c>
      <c r="T45" s="5">
        <f t="shared" si="2"/>
        <v>0.02</v>
      </c>
      <c r="U45" s="5">
        <f t="shared" si="2"/>
        <v>0.02</v>
      </c>
      <c r="V45" s="5">
        <f t="shared" si="2"/>
        <v>0.02</v>
      </c>
      <c r="W45" s="5">
        <f t="shared" si="2"/>
        <v>0.02</v>
      </c>
      <c r="X45" s="5">
        <f t="shared" si="2"/>
        <v>0.02</v>
      </c>
    </row>
    <row r="47" spans="3:24" x14ac:dyDescent="0.35">
      <c r="C47" t="s">
        <v>35</v>
      </c>
    </row>
    <row r="48" spans="3:24" x14ac:dyDescent="0.35">
      <c r="D48" t="s">
        <v>52</v>
      </c>
      <c r="F48" s="6">
        <v>0.13</v>
      </c>
      <c r="G48" s="6">
        <v>0.13</v>
      </c>
      <c r="H48" s="6">
        <v>0.13</v>
      </c>
      <c r="I48" s="6">
        <v>0.13</v>
      </c>
      <c r="J48" s="6">
        <v>0.13</v>
      </c>
      <c r="K48" s="6">
        <v>0.13</v>
      </c>
      <c r="L48" s="6">
        <v>0.13</v>
      </c>
      <c r="M48" s="6">
        <v>0.13</v>
      </c>
      <c r="N48" s="6">
        <v>0.13</v>
      </c>
      <c r="O48" s="6">
        <v>0.13</v>
      </c>
      <c r="P48" s="6">
        <v>0.13</v>
      </c>
      <c r="Q48" s="6">
        <v>0.13</v>
      </c>
      <c r="R48" s="6">
        <v>0.13</v>
      </c>
      <c r="S48" s="6">
        <v>0.13</v>
      </c>
      <c r="T48" s="6">
        <v>0.13</v>
      </c>
      <c r="U48" s="6">
        <v>0.13</v>
      </c>
      <c r="V48" s="6">
        <v>0.13</v>
      </c>
      <c r="W48" s="6">
        <v>0.13</v>
      </c>
      <c r="X48" s="6">
        <v>0.13</v>
      </c>
    </row>
    <row r="49" spans="2:24" x14ac:dyDescent="0.35">
      <c r="D49" t="s">
        <v>53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2:24" x14ac:dyDescent="0.35">
      <c r="D50" t="s">
        <v>38</v>
      </c>
      <c r="F50" s="8">
        <v>28</v>
      </c>
      <c r="G50" s="8">
        <v>28</v>
      </c>
      <c r="H50" s="8">
        <v>28</v>
      </c>
      <c r="I50" s="8">
        <v>28</v>
      </c>
      <c r="J50" s="8">
        <v>28</v>
      </c>
      <c r="K50" s="8">
        <v>28</v>
      </c>
      <c r="L50" s="8">
        <v>28</v>
      </c>
      <c r="M50" s="8">
        <v>28</v>
      </c>
      <c r="N50" s="8">
        <v>28</v>
      </c>
      <c r="O50" s="8">
        <v>28</v>
      </c>
      <c r="P50" s="8">
        <v>28</v>
      </c>
      <c r="Q50" s="8">
        <v>28</v>
      </c>
      <c r="R50" s="8">
        <v>28</v>
      </c>
      <c r="S50" s="8">
        <v>28</v>
      </c>
      <c r="T50" s="8">
        <v>28</v>
      </c>
      <c r="U50" s="8">
        <v>28</v>
      </c>
      <c r="V50" s="8">
        <v>28</v>
      </c>
      <c r="W50" s="8">
        <v>28</v>
      </c>
      <c r="X50" s="8">
        <v>28</v>
      </c>
    </row>
    <row r="51" spans="2:24" x14ac:dyDescent="0.35">
      <c r="D51" t="s">
        <v>39</v>
      </c>
      <c r="F51" s="8">
        <v>18</v>
      </c>
      <c r="G51" s="8">
        <v>18</v>
      </c>
      <c r="H51" s="8">
        <v>17</v>
      </c>
      <c r="I51" s="8">
        <v>17</v>
      </c>
      <c r="J51" s="8">
        <v>17</v>
      </c>
      <c r="K51" s="8">
        <v>17</v>
      </c>
      <c r="L51" s="8">
        <v>17</v>
      </c>
      <c r="M51" s="8">
        <v>16</v>
      </c>
      <c r="N51" s="8">
        <v>16</v>
      </c>
      <c r="O51" s="8">
        <v>16</v>
      </c>
      <c r="P51" s="8">
        <v>16</v>
      </c>
      <c r="Q51" s="8">
        <v>15</v>
      </c>
      <c r="R51" s="8">
        <v>15</v>
      </c>
      <c r="S51" s="8">
        <v>15</v>
      </c>
      <c r="T51" s="8">
        <v>15</v>
      </c>
      <c r="U51" s="8">
        <v>15</v>
      </c>
      <c r="V51" s="8">
        <v>15</v>
      </c>
      <c r="W51" s="8">
        <v>15</v>
      </c>
      <c r="X51" s="8">
        <v>15</v>
      </c>
    </row>
    <row r="52" spans="2:24" x14ac:dyDescent="0.35">
      <c r="B52" s="4"/>
      <c r="C52" s="4"/>
      <c r="D52" s="4"/>
      <c r="E52" s="4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2:24" x14ac:dyDescent="0.35">
      <c r="B53" t="s">
        <v>54</v>
      </c>
    </row>
    <row r="54" spans="2:24" x14ac:dyDescent="0.35">
      <c r="C54" t="s">
        <v>55</v>
      </c>
      <c r="F54" s="5">
        <v>6.25E-2</v>
      </c>
      <c r="G54" s="5">
        <v>6.25E-2</v>
      </c>
      <c r="H54" s="5">
        <v>6.25E-2</v>
      </c>
      <c r="I54" s="5">
        <v>6.25E-2</v>
      </c>
      <c r="J54" s="5">
        <v>6.25E-2</v>
      </c>
      <c r="K54" s="5">
        <v>6.25E-2</v>
      </c>
      <c r="L54" s="5">
        <v>6.25E-2</v>
      </c>
      <c r="M54" s="5">
        <v>6.25E-2</v>
      </c>
      <c r="N54" s="5">
        <v>6.25E-2</v>
      </c>
      <c r="O54" s="5">
        <v>6.25E-2</v>
      </c>
      <c r="P54" s="5">
        <v>6.25E-2</v>
      </c>
      <c r="Q54" s="5">
        <v>6.25E-2</v>
      </c>
      <c r="R54" s="5">
        <v>0.05</v>
      </c>
      <c r="S54" s="5">
        <v>0.05</v>
      </c>
      <c r="T54" s="5">
        <v>0.05</v>
      </c>
      <c r="U54" s="5">
        <v>0.05</v>
      </c>
      <c r="V54" s="5">
        <v>0.05</v>
      </c>
      <c r="W54" s="5">
        <v>0.05</v>
      </c>
      <c r="X54" s="5">
        <v>0.05</v>
      </c>
    </row>
    <row r="55" spans="2:24" x14ac:dyDescent="0.35">
      <c r="C55" t="s">
        <v>56</v>
      </c>
      <c r="F55" s="5">
        <v>8.5000000000000006E-2</v>
      </c>
      <c r="G55" s="5">
        <v>8.5000000000000006E-2</v>
      </c>
      <c r="H55" s="5">
        <v>8.5000000000000006E-2</v>
      </c>
      <c r="I55" s="5">
        <v>8.5000000000000006E-2</v>
      </c>
      <c r="J55" s="5">
        <v>8.5000000000000006E-2</v>
      </c>
      <c r="K55" s="5">
        <v>8.5000000000000006E-2</v>
      </c>
      <c r="L55" s="5">
        <v>8.5000000000000006E-2</v>
      </c>
      <c r="M55" s="5">
        <v>8.5000000000000006E-2</v>
      </c>
      <c r="N55" s="5">
        <v>8.5000000000000006E-2</v>
      </c>
      <c r="O55" s="5">
        <v>8.5000000000000006E-2</v>
      </c>
      <c r="P55" s="5">
        <v>8.5000000000000006E-2</v>
      </c>
      <c r="Q55" s="5">
        <v>8.5000000000000006E-2</v>
      </c>
      <c r="R55" s="5">
        <v>6.5000000000000002E-2</v>
      </c>
      <c r="S55" s="5">
        <v>6.5000000000000002E-2</v>
      </c>
      <c r="T55" s="5">
        <v>6.5000000000000002E-2</v>
      </c>
      <c r="U55" s="5">
        <v>6.5000000000000002E-2</v>
      </c>
      <c r="V55" s="5">
        <v>6.5000000000000002E-2</v>
      </c>
      <c r="W55" s="5">
        <v>6.5000000000000002E-2</v>
      </c>
      <c r="X55" s="5">
        <v>6.5000000000000002E-2</v>
      </c>
    </row>
    <row r="57" spans="2:24" x14ac:dyDescent="0.35">
      <c r="B57" t="s">
        <v>57</v>
      </c>
    </row>
    <row r="58" spans="2:24" x14ac:dyDescent="0.35">
      <c r="C58" t="s">
        <v>58</v>
      </c>
      <c r="F58" s="8">
        <v>2500000</v>
      </c>
      <c r="G58" s="8">
        <v>2500000</v>
      </c>
      <c r="H58" s="8">
        <v>2500000</v>
      </c>
      <c r="I58" s="8">
        <v>2500000</v>
      </c>
      <c r="J58" s="8">
        <v>2500000</v>
      </c>
      <c r="K58" s="8">
        <v>2500000</v>
      </c>
      <c r="L58" s="8">
        <v>2500000</v>
      </c>
      <c r="M58" s="8">
        <v>2500000</v>
      </c>
      <c r="N58" s="8">
        <v>2500000</v>
      </c>
      <c r="O58" s="8">
        <v>2500000</v>
      </c>
      <c r="P58" s="8">
        <v>2500000</v>
      </c>
      <c r="Q58" s="8">
        <v>6000000</v>
      </c>
      <c r="R58" s="8">
        <v>6000000</v>
      </c>
      <c r="S58" s="8">
        <v>6000000</v>
      </c>
      <c r="T58" s="8">
        <v>6000000</v>
      </c>
      <c r="U58" s="8">
        <v>6000000</v>
      </c>
      <c r="V58" s="8">
        <v>6000000</v>
      </c>
      <c r="W58" s="8">
        <v>6000000</v>
      </c>
      <c r="X58" s="8">
        <v>6000000</v>
      </c>
    </row>
    <row r="59" spans="2:24" x14ac:dyDescent="0.35">
      <c r="C59" t="s">
        <v>59</v>
      </c>
      <c r="F59" s="8">
        <v>6200000</v>
      </c>
      <c r="G59" s="8">
        <v>6200000</v>
      </c>
      <c r="H59" s="8">
        <v>6200000</v>
      </c>
      <c r="I59" s="8">
        <v>6200000</v>
      </c>
      <c r="J59" s="8">
        <v>6200000</v>
      </c>
      <c r="K59" s="8">
        <v>6200000</v>
      </c>
      <c r="L59" s="8">
        <v>6200000</v>
      </c>
      <c r="M59" s="8">
        <v>6200000</v>
      </c>
      <c r="N59" s="8">
        <v>6200000</v>
      </c>
      <c r="O59" s="8">
        <v>6200000</v>
      </c>
      <c r="P59" s="8">
        <v>6200000</v>
      </c>
      <c r="Q59" s="8">
        <v>2680000</v>
      </c>
      <c r="R59" s="8">
        <v>2680000</v>
      </c>
      <c r="S59" s="8">
        <v>2680000</v>
      </c>
      <c r="T59" s="8">
        <v>2680000</v>
      </c>
      <c r="U59" s="8">
        <v>2680000</v>
      </c>
      <c r="V59" s="8">
        <v>2680000</v>
      </c>
      <c r="W59" s="8">
        <v>2680000</v>
      </c>
      <c r="X59" s="8">
        <v>2680000</v>
      </c>
    </row>
    <row r="60" spans="2:24" x14ac:dyDescent="0.35">
      <c r="C60" t="s">
        <v>60</v>
      </c>
      <c r="F60" s="8">
        <v>25000</v>
      </c>
      <c r="G60" s="8">
        <v>25000</v>
      </c>
      <c r="H60" s="8">
        <v>25000</v>
      </c>
      <c r="I60" s="8">
        <v>50000</v>
      </c>
      <c r="J60" s="8">
        <v>50000</v>
      </c>
      <c r="K60" s="8">
        <v>50000</v>
      </c>
      <c r="L60" s="8">
        <v>50000</v>
      </c>
      <c r="M60" s="8">
        <v>200000</v>
      </c>
      <c r="N60" s="8">
        <v>200000</v>
      </c>
      <c r="O60" s="8">
        <v>200000</v>
      </c>
      <c r="P60" s="8">
        <v>200000</v>
      </c>
      <c r="Q60" s="8">
        <v>280000</v>
      </c>
      <c r="R60" s="8">
        <v>280000</v>
      </c>
      <c r="S60" s="8">
        <v>280000</v>
      </c>
      <c r="T60" s="8">
        <v>280000</v>
      </c>
      <c r="U60" s="8">
        <v>380000</v>
      </c>
      <c r="V60" s="8">
        <v>380000</v>
      </c>
      <c r="W60" s="8">
        <v>380000</v>
      </c>
      <c r="X60" s="8">
        <v>380000</v>
      </c>
    </row>
    <row r="62" spans="2:24" x14ac:dyDescent="0.35">
      <c r="B62" t="s">
        <v>61</v>
      </c>
      <c r="F62" s="6">
        <v>0.32</v>
      </c>
      <c r="G62" s="6">
        <v>0.32</v>
      </c>
      <c r="H62" s="6">
        <v>0.32</v>
      </c>
      <c r="I62" s="6">
        <v>0.32</v>
      </c>
      <c r="J62" s="6">
        <v>0.32</v>
      </c>
      <c r="K62" s="6">
        <v>0.32</v>
      </c>
      <c r="L62" s="6">
        <v>0.32</v>
      </c>
      <c r="M62" s="6">
        <v>0.32</v>
      </c>
      <c r="N62" s="6">
        <v>0.32</v>
      </c>
      <c r="O62" s="6">
        <v>0.32</v>
      </c>
      <c r="P62" s="6">
        <v>0.32</v>
      </c>
      <c r="Q62" s="6">
        <v>0.32</v>
      </c>
      <c r="R62" s="6">
        <v>0.32</v>
      </c>
      <c r="S62" s="6">
        <v>0.32</v>
      </c>
      <c r="T62" s="6">
        <v>0.32</v>
      </c>
      <c r="U62" s="6">
        <v>0.32</v>
      </c>
      <c r="V62" s="6">
        <v>0.32</v>
      </c>
      <c r="W62" s="6">
        <v>0.32</v>
      </c>
      <c r="X62" s="6">
        <v>0.32</v>
      </c>
    </row>
    <row r="66" spans="1:24" x14ac:dyDescent="0.35"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x14ac:dyDescent="0.35"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9" spans="1:24" x14ac:dyDescent="0.35"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1" spans="1:24" ht="15.5" x14ac:dyDescent="0.35">
      <c r="A71" s="177" t="s">
        <v>254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L26"/>
  <sheetViews>
    <sheetView showGridLines="0" zoomScale="79" workbookViewId="0">
      <selection activeCell="L22" sqref="L22"/>
    </sheetView>
  </sheetViews>
  <sheetFormatPr defaultColWidth="9.1796875" defaultRowHeight="14" x14ac:dyDescent="0.3"/>
  <cols>
    <col min="1" max="2" width="1.453125" style="13" customWidth="1"/>
    <col min="3" max="3" width="16.453125" style="13" customWidth="1"/>
    <col min="4" max="4" width="9.1796875" style="13"/>
    <col min="5" max="5" width="13.26953125" style="13" bestFit="1" customWidth="1"/>
    <col min="6" max="6" width="14.26953125" style="13" bestFit="1" customWidth="1"/>
    <col min="7" max="7" width="13.26953125" style="13" bestFit="1" customWidth="1"/>
    <col min="8" max="10" width="9.1796875" style="13"/>
    <col min="11" max="11" width="13.26953125" style="13" customWidth="1"/>
    <col min="12" max="12" width="25" style="13" bestFit="1" customWidth="1"/>
    <col min="13" max="16384" width="9.1796875" style="13"/>
  </cols>
  <sheetData>
    <row r="1" spans="1:12" x14ac:dyDescent="0.3">
      <c r="A1" s="23" t="s">
        <v>62</v>
      </c>
    </row>
    <row r="3" spans="1:12" x14ac:dyDescent="0.3">
      <c r="B3" s="39"/>
      <c r="C3" s="39"/>
      <c r="D3" s="33" t="s">
        <v>63</v>
      </c>
      <c r="E3" s="33" t="s">
        <v>64</v>
      </c>
      <c r="F3" s="33" t="s">
        <v>65</v>
      </c>
      <c r="G3" s="33" t="s">
        <v>66</v>
      </c>
      <c r="H3" s="85" t="s">
        <v>67</v>
      </c>
      <c r="I3" s="85" t="s">
        <v>68</v>
      </c>
      <c r="K3" s="178" t="s">
        <v>69</v>
      </c>
      <c r="L3" s="33" t="s">
        <v>70</v>
      </c>
    </row>
    <row r="4" spans="1:12" x14ac:dyDescent="0.3">
      <c r="B4" s="21"/>
      <c r="C4" s="21"/>
      <c r="D4" s="34" t="s">
        <v>71</v>
      </c>
      <c r="E4" s="34" t="s">
        <v>72</v>
      </c>
      <c r="F4" s="34" t="s">
        <v>73</v>
      </c>
      <c r="G4" s="34" t="s">
        <v>74</v>
      </c>
      <c r="H4" s="86" t="s">
        <v>75</v>
      </c>
      <c r="I4" s="86" t="s">
        <v>76</v>
      </c>
      <c r="K4" s="179"/>
      <c r="L4" s="34" t="s">
        <v>77</v>
      </c>
    </row>
    <row r="5" spans="1:12" x14ac:dyDescent="0.3">
      <c r="B5" s="40" t="s">
        <v>78</v>
      </c>
      <c r="C5" s="39"/>
      <c r="D5" s="39"/>
      <c r="E5" s="39"/>
      <c r="F5" s="39"/>
      <c r="G5" s="39"/>
      <c r="H5" s="87"/>
      <c r="I5" s="87"/>
      <c r="K5" s="179"/>
      <c r="L5" s="39"/>
    </row>
    <row r="6" spans="1:12" x14ac:dyDescent="0.3">
      <c r="C6" s="13" t="s">
        <v>79</v>
      </c>
      <c r="D6" s="41">
        <v>17.46</v>
      </c>
      <c r="E6" s="16">
        <v>8113783</v>
      </c>
      <c r="F6" s="42">
        <v>17000000</v>
      </c>
      <c r="G6" s="42">
        <v>32043263</v>
      </c>
      <c r="H6" s="88">
        <v>1.6220000000000001</v>
      </c>
      <c r="I6" s="89">
        <v>0.375</v>
      </c>
      <c r="K6" s="180">
        <f>(F6/E6)*D6</f>
        <v>36.582195999079588</v>
      </c>
      <c r="L6" s="38" t="s">
        <v>80</v>
      </c>
    </row>
    <row r="7" spans="1:12" x14ac:dyDescent="0.3">
      <c r="C7" s="13" t="s">
        <v>81</v>
      </c>
      <c r="D7" s="41">
        <v>53.91</v>
      </c>
      <c r="E7" s="16">
        <v>1138260</v>
      </c>
      <c r="F7" s="42">
        <v>13500000</v>
      </c>
      <c r="G7" s="42">
        <v>12645489</v>
      </c>
      <c r="H7" s="88">
        <v>1.5509999999999999</v>
      </c>
      <c r="I7" s="89">
        <v>0.34</v>
      </c>
      <c r="K7" s="180">
        <f t="shared" ref="K7:K16" si="0">(F7/E7)*D7</f>
        <v>639.38379632070007</v>
      </c>
      <c r="L7" s="38" t="s">
        <v>80</v>
      </c>
    </row>
    <row r="8" spans="1:12" x14ac:dyDescent="0.3">
      <c r="C8" s="13" t="s">
        <v>82</v>
      </c>
      <c r="D8" s="41">
        <v>11.26</v>
      </c>
      <c r="E8" s="16">
        <v>9069952</v>
      </c>
      <c r="F8" s="42">
        <v>48000000</v>
      </c>
      <c r="G8" s="42">
        <v>39847189</v>
      </c>
      <c r="H8" s="88">
        <v>1.532</v>
      </c>
      <c r="I8" s="89">
        <v>0.38</v>
      </c>
      <c r="K8" s="180">
        <f t="shared" si="0"/>
        <v>59.590172031781428</v>
      </c>
      <c r="L8" s="38" t="s">
        <v>80</v>
      </c>
    </row>
    <row r="9" spans="1:12" x14ac:dyDescent="0.3">
      <c r="C9" s="13" t="s">
        <v>83</v>
      </c>
      <c r="D9" s="41">
        <v>27.01</v>
      </c>
      <c r="E9" s="16">
        <v>629396</v>
      </c>
      <c r="F9" s="43">
        <v>3400000</v>
      </c>
      <c r="G9" s="43">
        <v>1080564</v>
      </c>
      <c r="H9" s="88">
        <v>1.667</v>
      </c>
      <c r="I9" s="89">
        <v>0.36499999999999999</v>
      </c>
      <c r="K9" s="180">
        <f t="shared" si="0"/>
        <v>145.90814050295839</v>
      </c>
      <c r="L9" s="38" t="s">
        <v>84</v>
      </c>
    </row>
    <row r="10" spans="1:12" x14ac:dyDescent="0.3">
      <c r="C10" s="13" t="s">
        <v>85</v>
      </c>
      <c r="D10" s="41">
        <v>104.98</v>
      </c>
      <c r="E10" s="16">
        <v>1734457</v>
      </c>
      <c r="F10" s="43">
        <v>65550000</v>
      </c>
      <c r="G10" s="43">
        <v>45164743</v>
      </c>
      <c r="H10" s="88">
        <v>1.365</v>
      </c>
      <c r="I10" s="89">
        <v>0.39500000000000002</v>
      </c>
      <c r="K10" s="180">
        <f t="shared" si="0"/>
        <v>3967.4889605219387</v>
      </c>
      <c r="L10" s="38" t="s">
        <v>80</v>
      </c>
    </row>
    <row r="11" spans="1:12" x14ac:dyDescent="0.3">
      <c r="C11" s="13" t="s">
        <v>86</v>
      </c>
      <c r="D11" s="41">
        <v>19.440000000000001</v>
      </c>
      <c r="E11" s="16">
        <v>1876523</v>
      </c>
      <c r="F11" s="43">
        <v>9484700</v>
      </c>
      <c r="G11" s="43">
        <v>2969480</v>
      </c>
      <c r="H11" s="88">
        <v>1.7450000000000001</v>
      </c>
      <c r="I11" s="89">
        <v>0.36199999999999999</v>
      </c>
      <c r="K11" s="180">
        <f t="shared" si="0"/>
        <v>98.257558260676802</v>
      </c>
      <c r="L11" s="38" t="s">
        <v>84</v>
      </c>
    </row>
    <row r="12" spans="1:12" x14ac:dyDescent="0.3">
      <c r="C12" s="13" t="s">
        <v>87</v>
      </c>
      <c r="D12" s="41">
        <v>29.55</v>
      </c>
      <c r="E12" s="16">
        <v>1687576</v>
      </c>
      <c r="F12" s="43">
        <v>4488110</v>
      </c>
      <c r="G12" s="43">
        <v>3300726</v>
      </c>
      <c r="H12" s="88">
        <v>1.6120000000000001</v>
      </c>
      <c r="I12" s="89">
        <v>0.35299999999999998</v>
      </c>
      <c r="K12" s="180">
        <f t="shared" si="0"/>
        <v>78.588253506805032</v>
      </c>
      <c r="L12" s="38" t="s">
        <v>84</v>
      </c>
    </row>
    <row r="13" spans="1:12" x14ac:dyDescent="0.3">
      <c r="F13" s="42"/>
      <c r="G13" s="42"/>
      <c r="H13" s="88"/>
      <c r="I13" s="89"/>
      <c r="K13" s="180"/>
      <c r="L13" s="38"/>
    </row>
    <row r="14" spans="1:12" x14ac:dyDescent="0.3">
      <c r="B14" s="44" t="s">
        <v>88</v>
      </c>
      <c r="F14" s="42"/>
      <c r="G14" s="42"/>
      <c r="H14" s="88"/>
      <c r="I14" s="89"/>
      <c r="K14" s="180"/>
      <c r="L14" s="38"/>
    </row>
    <row r="15" spans="1:12" x14ac:dyDescent="0.3">
      <c r="C15" s="13" t="s">
        <v>89</v>
      </c>
      <c r="D15" s="41">
        <v>37.54</v>
      </c>
      <c r="E15" s="16">
        <v>1116379</v>
      </c>
      <c r="F15" s="43">
        <v>13410843</v>
      </c>
      <c r="G15" s="43">
        <v>4837001</v>
      </c>
      <c r="H15" s="88">
        <v>1.1850000000000001</v>
      </c>
      <c r="I15" s="89">
        <v>0.38500000000000001</v>
      </c>
      <c r="K15" s="180">
        <f t="shared" si="0"/>
        <v>450.96069186181393</v>
      </c>
      <c r="L15" s="38" t="s">
        <v>80</v>
      </c>
    </row>
    <row r="16" spans="1:12" x14ac:dyDescent="0.3">
      <c r="B16" s="21"/>
      <c r="C16" s="21" t="s">
        <v>90</v>
      </c>
      <c r="D16" s="45">
        <v>12.12</v>
      </c>
      <c r="E16" s="46">
        <v>1943312</v>
      </c>
      <c r="F16" s="46">
        <v>2826353</v>
      </c>
      <c r="G16" s="46">
        <v>929967</v>
      </c>
      <c r="H16" s="90">
        <v>1.171</v>
      </c>
      <c r="I16" s="91">
        <v>0.379</v>
      </c>
      <c r="K16" s="180">
        <f t="shared" si="0"/>
        <v>17.627328169640283</v>
      </c>
      <c r="L16" s="79" t="s">
        <v>84</v>
      </c>
    </row>
    <row r="19" spans="2:11" x14ac:dyDescent="0.3">
      <c r="B19" s="51" t="s">
        <v>253</v>
      </c>
      <c r="C19" s="51"/>
      <c r="D19" s="51"/>
      <c r="E19" s="51"/>
      <c r="F19" s="51"/>
      <c r="G19" s="51"/>
      <c r="H19" s="51"/>
      <c r="I19" s="84">
        <v>3.0200000000000001E-2</v>
      </c>
      <c r="J19" s="51"/>
      <c r="K19" s="51"/>
    </row>
    <row r="20" spans="2:11" x14ac:dyDescent="0.3">
      <c r="B20" s="51" t="s">
        <v>91</v>
      </c>
      <c r="C20" s="51"/>
      <c r="D20" s="51"/>
      <c r="E20" s="51"/>
      <c r="F20" s="51"/>
      <c r="G20" s="51"/>
      <c r="H20" s="51"/>
      <c r="I20" s="84">
        <v>5.96E-2</v>
      </c>
      <c r="J20" s="51"/>
      <c r="K20" s="51"/>
    </row>
    <row r="21" spans="2:11" x14ac:dyDescent="0.3">
      <c r="B21" s="51" t="s">
        <v>92</v>
      </c>
      <c r="C21" s="51"/>
      <c r="D21" s="51"/>
      <c r="E21" s="51"/>
      <c r="F21" s="51"/>
      <c r="G21" s="51"/>
      <c r="H21" s="51"/>
      <c r="I21" s="84">
        <v>6.25E-2</v>
      </c>
      <c r="J21" s="51"/>
      <c r="K21" s="51"/>
    </row>
    <row r="22" spans="2:11" x14ac:dyDescent="0.3">
      <c r="B22" s="51"/>
      <c r="C22" s="51"/>
      <c r="D22" s="51"/>
      <c r="E22" s="51"/>
      <c r="F22" s="51"/>
      <c r="G22" s="51"/>
      <c r="H22" s="51"/>
      <c r="I22" s="51"/>
      <c r="J22" s="51"/>
      <c r="K22" s="51"/>
    </row>
    <row r="23" spans="2:11" x14ac:dyDescent="0.3">
      <c r="B23" s="51" t="s">
        <v>93</v>
      </c>
      <c r="C23" s="51"/>
      <c r="D23" s="51"/>
      <c r="E23" s="51"/>
      <c r="F23" s="51"/>
      <c r="G23" s="51"/>
      <c r="H23" s="51"/>
      <c r="I23" s="51">
        <f>1/8</f>
        <v>0.125</v>
      </c>
      <c r="J23" s="51"/>
      <c r="K23" s="51"/>
    </row>
    <row r="24" spans="2:11" x14ac:dyDescent="0.3">
      <c r="B24" s="51"/>
      <c r="C24" s="51" t="s">
        <v>94</v>
      </c>
      <c r="D24" s="51"/>
      <c r="E24" s="51"/>
      <c r="F24" s="51"/>
      <c r="G24" s="51"/>
      <c r="H24" s="51"/>
      <c r="I24" s="51"/>
      <c r="J24" s="51"/>
      <c r="K24" s="51"/>
    </row>
    <row r="26" spans="2:11" x14ac:dyDescent="0.3">
      <c r="B26" s="23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3"/>
  <sheetViews>
    <sheetView showGridLines="0" zoomScale="65" zoomScaleNormal="120" workbookViewId="0">
      <pane xSplit="2" ySplit="3" topLeftCell="M4" activePane="bottomRight" state="frozen"/>
      <selection pane="topRight" activeCell="C1" sqref="C1"/>
      <selection pane="bottomLeft" activeCell="A4" sqref="A4"/>
      <selection pane="bottomRight" activeCell="F27" sqref="F27"/>
    </sheetView>
  </sheetViews>
  <sheetFormatPr defaultColWidth="9.1796875" defaultRowHeight="14" x14ac:dyDescent="0.3"/>
  <cols>
    <col min="1" max="1" width="1.453125" style="13" customWidth="1"/>
    <col min="2" max="2" width="23.54296875" style="13" customWidth="1"/>
    <col min="3" max="25" width="14.81640625" style="13" customWidth="1"/>
    <col min="26" max="16384" width="9.1796875" style="13"/>
  </cols>
  <sheetData>
    <row r="1" spans="1:25" x14ac:dyDescent="0.3">
      <c r="A1" s="23" t="s">
        <v>95</v>
      </c>
    </row>
    <row r="2" spans="1:25" x14ac:dyDescent="0.3">
      <c r="C2" s="19" t="s">
        <v>96</v>
      </c>
      <c r="D2" s="19" t="s">
        <v>96</v>
      </c>
      <c r="E2" s="19" t="s">
        <v>96</v>
      </c>
      <c r="F2" s="19" t="s">
        <v>96</v>
      </c>
      <c r="G2" s="83" t="s">
        <v>97</v>
      </c>
      <c r="H2" s="83" t="s">
        <v>97</v>
      </c>
      <c r="I2" s="83" t="s">
        <v>97</v>
      </c>
      <c r="J2" s="83" t="s">
        <v>97</v>
      </c>
      <c r="K2" s="83" t="s">
        <v>97</v>
      </c>
      <c r="L2" s="83" t="s">
        <v>97</v>
      </c>
      <c r="M2" s="83" t="s">
        <v>97</v>
      </c>
      <c r="N2" s="83" t="s">
        <v>97</v>
      </c>
      <c r="O2" s="83" t="s">
        <v>97</v>
      </c>
      <c r="P2" s="83" t="s">
        <v>97</v>
      </c>
      <c r="Q2" s="83" t="s">
        <v>97</v>
      </c>
      <c r="R2" s="83" t="s">
        <v>97</v>
      </c>
      <c r="S2" s="83" t="s">
        <v>97</v>
      </c>
      <c r="T2" s="83" t="s">
        <v>97</v>
      </c>
      <c r="U2" s="83" t="s">
        <v>97</v>
      </c>
      <c r="V2" s="83" t="s">
        <v>97</v>
      </c>
      <c r="W2" s="83" t="s">
        <v>97</v>
      </c>
      <c r="X2" s="83" t="s">
        <v>97</v>
      </c>
      <c r="Y2" s="83" t="s">
        <v>97</v>
      </c>
    </row>
    <row r="3" spans="1:25" s="81" customFormat="1" x14ac:dyDescent="0.3">
      <c r="C3" s="82" t="s">
        <v>98</v>
      </c>
      <c r="D3" s="82" t="s">
        <v>99</v>
      </c>
      <c r="E3" s="82" t="s">
        <v>100</v>
      </c>
      <c r="F3" s="82" t="s">
        <v>101</v>
      </c>
      <c r="G3" s="83" t="s">
        <v>2</v>
      </c>
      <c r="H3" s="83" t="s">
        <v>3</v>
      </c>
      <c r="I3" s="83" t="s">
        <v>4</v>
      </c>
      <c r="J3" s="83" t="s">
        <v>5</v>
      </c>
      <c r="K3" s="83" t="s">
        <v>6</v>
      </c>
      <c r="L3" s="83" t="s">
        <v>7</v>
      </c>
      <c r="M3" s="83" t="s">
        <v>8</v>
      </c>
      <c r="N3" s="83" t="s">
        <v>9</v>
      </c>
      <c r="O3" s="83" t="s">
        <v>10</v>
      </c>
      <c r="P3" s="83" t="s">
        <v>11</v>
      </c>
      <c r="Q3" s="83" t="s">
        <v>12</v>
      </c>
      <c r="R3" s="83" t="s">
        <v>13</v>
      </c>
      <c r="S3" s="83" t="s">
        <v>14</v>
      </c>
      <c r="T3" s="83" t="s">
        <v>15</v>
      </c>
      <c r="U3" s="83" t="s">
        <v>16</v>
      </c>
      <c r="V3" s="83" t="s">
        <v>17</v>
      </c>
      <c r="W3" s="83" t="s">
        <v>18</v>
      </c>
      <c r="X3" s="83" t="s">
        <v>19</v>
      </c>
      <c r="Y3" s="83" t="s">
        <v>20</v>
      </c>
    </row>
    <row r="4" spans="1:25" x14ac:dyDescent="0.3">
      <c r="B4" s="13" t="s">
        <v>102</v>
      </c>
      <c r="C4" s="22">
        <v>585000</v>
      </c>
      <c r="D4" s="22">
        <v>517500</v>
      </c>
      <c r="E4" s="22">
        <v>656250</v>
      </c>
      <c r="F4" s="22">
        <v>558750</v>
      </c>
      <c r="G4" s="17">
        <f>Assumptions!F5*Assumptions!F6</f>
        <v>690300</v>
      </c>
      <c r="H4" s="17">
        <f>Assumptions!G5*Assumptions!G6</f>
        <v>610650</v>
      </c>
      <c r="I4" s="17">
        <f>Assumptions!H5*Assumptions!H6</f>
        <v>767812.5</v>
      </c>
      <c r="J4" s="17">
        <f>Assumptions!I5*Assumptions!I6</f>
        <v>669755</v>
      </c>
      <c r="K4" s="17">
        <f>Assumptions!J5*Assumptions!J6</f>
        <v>820306.49999999988</v>
      </c>
      <c r="L4" s="17">
        <f>Assumptions!K5*Assumptions!K6</f>
        <v>719345.70000000007</v>
      </c>
      <c r="M4" s="17">
        <f>Assumptions!L5*Assumptions!L6</f>
        <v>896549.06249999988</v>
      </c>
      <c r="N4" s="17">
        <f>Assumptions!M5*Assumptions!M6</f>
        <v>750125.60000000009</v>
      </c>
      <c r="O4" s="17">
        <f>Assumptions!N5*Assumptions!N6</f>
        <v>910540.21499999997</v>
      </c>
      <c r="P4" s="17">
        <f>Assumptions!O5*Assumptions!O6</f>
        <v>791280.27000000014</v>
      </c>
      <c r="Q4" s="17">
        <f>Assumptions!P5*Assumptions!P6</f>
        <v>977238.47812500014</v>
      </c>
      <c r="R4" s="17">
        <f>Assumptions!Q5*Assumptions!Q6</f>
        <v>825815.69280000031</v>
      </c>
      <c r="S4" s="17">
        <f>Assumptions!R5*Assumptions!R6</f>
        <v>993135.02417999995</v>
      </c>
      <c r="T4" s="17">
        <f>Assumptions!S5*Assumptions!S6</f>
        <v>854991.09432000015</v>
      </c>
      <c r="U4" s="17">
        <f>Assumptions!T5*Assumptions!T6</f>
        <v>1045960.4098125002</v>
      </c>
      <c r="V4" s="17">
        <f>Assumptions!U5*Assumptions!U6</f>
        <v>858848.32051200035</v>
      </c>
      <c r="W4" s="17">
        <f>Assumptions!V5*Assumptions!V6</f>
        <v>1022929.0749054</v>
      </c>
      <c r="X4" s="17">
        <f>Assumptions!W5*Assumptions!W6</f>
        <v>872090.91620640026</v>
      </c>
      <c r="Y4" s="17">
        <f>Assumptions!X5*Assumptions!X6</f>
        <v>1056420.0139106251</v>
      </c>
    </row>
    <row r="5" spans="1:25" x14ac:dyDescent="0.3">
      <c r="B5" s="13" t="s">
        <v>24</v>
      </c>
      <c r="C5" s="22">
        <v>-135330</v>
      </c>
      <c r="D5" s="22">
        <v>-119715.00000000001</v>
      </c>
      <c r="E5" s="22">
        <v>-151812.5</v>
      </c>
      <c r="F5" s="22">
        <v>-129257.50000000001</v>
      </c>
      <c r="G5" s="17">
        <f>-Assumptions!F5*Assumptions!F9</f>
        <v>-159689.40000000002</v>
      </c>
      <c r="H5" s="17">
        <f>-Assumptions!G5*Assumptions!G9</f>
        <v>-141263.70000000001</v>
      </c>
      <c r="I5" s="17">
        <f>-Assumptions!H5*Assumptions!H9</f>
        <v>-177620.625</v>
      </c>
      <c r="J5" s="17">
        <f>-Assumptions!I5*Assumptions!I9</f>
        <v>-146914</v>
      </c>
      <c r="K5" s="17">
        <f>-Assumptions!J5*Assumptions!J9</f>
        <v>-179938.19999999998</v>
      </c>
      <c r="L5" s="17">
        <f>-Assumptions!K5*Assumptions!K9</f>
        <v>-157791.96000000002</v>
      </c>
      <c r="M5" s="17">
        <f>-Assumptions!L5*Assumptions!L9</f>
        <v>-196662.37499999997</v>
      </c>
      <c r="N5" s="17">
        <f>-Assumptions!M5*Assumptions!M9</f>
        <v>-163091.82400000002</v>
      </c>
      <c r="O5" s="17">
        <f>-Assumptions!N5*Assumptions!N9</f>
        <v>-197969.0661</v>
      </c>
      <c r="P5" s="17">
        <f>-Assumptions!O5*Assumptions!O9</f>
        <v>-172039.64580000003</v>
      </c>
      <c r="Q5" s="17">
        <f>-Assumptions!P5*Assumptions!P9</f>
        <v>-212470.55943750005</v>
      </c>
      <c r="R5" s="17">
        <f>-Assumptions!Q5*Assumptions!Q9</f>
        <v>-172480.49280000007</v>
      </c>
      <c r="S5" s="17">
        <f>-Assumptions!R5*Assumptions!R9</f>
        <v>-207426.93543000001</v>
      </c>
      <c r="T5" s="17">
        <f>-Assumptions!S5*Assumptions!S9</f>
        <v>-178574.08932000003</v>
      </c>
      <c r="U5" s="17">
        <f>-Assumptions!T5*Assumptions!T9</f>
        <v>-218460.08559375003</v>
      </c>
      <c r="V5" s="17">
        <f>-Assumptions!U5*Assumptions!U9</f>
        <v>-179379.71251200006</v>
      </c>
      <c r="W5" s="17">
        <f>-Assumptions!V5*Assumptions!V9</f>
        <v>-213649.74349290002</v>
      </c>
      <c r="X5" s="17">
        <f>-Assumptions!W5*Assumptions!W9</f>
        <v>-182145.57110640005</v>
      </c>
      <c r="Y5" s="17">
        <f>-Assumptions!X5*Assumptions!X9</f>
        <v>-220644.68644968755</v>
      </c>
    </row>
    <row r="6" spans="1:25" x14ac:dyDescent="0.3">
      <c r="B6" s="13" t="s">
        <v>103</v>
      </c>
      <c r="C6" s="22">
        <v>449670</v>
      </c>
      <c r="D6" s="22">
        <v>397785</v>
      </c>
      <c r="E6" s="22">
        <v>504437.5</v>
      </c>
      <c r="F6" s="22">
        <v>429492.5</v>
      </c>
      <c r="G6" s="17">
        <f>SUM(G4:G5)</f>
        <v>530610.6</v>
      </c>
      <c r="H6" s="17">
        <f t="shared" ref="H6:Y6" si="0">SUM(H4:H5)</f>
        <v>469386.3</v>
      </c>
      <c r="I6" s="17">
        <f t="shared" si="0"/>
        <v>590191.875</v>
      </c>
      <c r="J6" s="17">
        <f t="shared" si="0"/>
        <v>522841</v>
      </c>
      <c r="K6" s="17">
        <f t="shared" si="0"/>
        <v>640368.29999999993</v>
      </c>
      <c r="L6" s="17">
        <f t="shared" si="0"/>
        <v>561553.74</v>
      </c>
      <c r="M6" s="17">
        <f t="shared" si="0"/>
        <v>699886.68749999988</v>
      </c>
      <c r="N6" s="17">
        <f t="shared" si="0"/>
        <v>587033.77600000007</v>
      </c>
      <c r="O6" s="17">
        <f t="shared" si="0"/>
        <v>712571.14889999991</v>
      </c>
      <c r="P6" s="17">
        <f t="shared" si="0"/>
        <v>619240.62420000008</v>
      </c>
      <c r="Q6" s="17">
        <f t="shared" si="0"/>
        <v>764767.91868750006</v>
      </c>
      <c r="R6" s="17">
        <f t="shared" si="0"/>
        <v>653335.20000000019</v>
      </c>
      <c r="S6" s="17">
        <f t="shared" si="0"/>
        <v>785708.08874999988</v>
      </c>
      <c r="T6" s="17">
        <f t="shared" si="0"/>
        <v>676417.00500000012</v>
      </c>
      <c r="U6" s="17">
        <f t="shared" si="0"/>
        <v>827500.32421875023</v>
      </c>
      <c r="V6" s="17">
        <f t="shared" si="0"/>
        <v>679468.60800000024</v>
      </c>
      <c r="W6" s="17">
        <f t="shared" si="0"/>
        <v>809279.3314125</v>
      </c>
      <c r="X6" s="17">
        <f t="shared" si="0"/>
        <v>689945.34510000027</v>
      </c>
      <c r="Y6" s="17">
        <f t="shared" si="0"/>
        <v>835775.32746093755</v>
      </c>
    </row>
    <row r="7" spans="1:25" x14ac:dyDescent="0.3">
      <c r="C7" s="22"/>
      <c r="D7" s="22"/>
      <c r="E7" s="22"/>
      <c r="F7" s="22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 x14ac:dyDescent="0.3">
      <c r="B8" s="13" t="s">
        <v>26</v>
      </c>
      <c r="C8" s="22">
        <v>-84625</v>
      </c>
      <c r="D8" s="22">
        <v>-76187.5</v>
      </c>
      <c r="E8" s="22">
        <v>-93531.25</v>
      </c>
      <c r="F8" s="22">
        <v>-81843.75</v>
      </c>
      <c r="G8" s="17">
        <f>(Assumptions!F12+((Assumptions!F5*Assumptions!F6)*Assumptions!F13))*-1</f>
        <v>-98287.5</v>
      </c>
      <c r="H8" s="17">
        <f>(Assumptions!G12+((Assumptions!G5*Assumptions!G6)*Assumptions!G13))*-1</f>
        <v>-88331.25</v>
      </c>
      <c r="I8" s="17">
        <f>(Assumptions!H12+((Assumptions!H5*Assumptions!H6)*Assumptions!H13))*-1</f>
        <v>-107976.5625</v>
      </c>
      <c r="J8" s="17">
        <f>(Assumptions!I12+((Assumptions!I5*Assumptions!I6)*Assumptions!I13))*-1</f>
        <v>-95919.375</v>
      </c>
      <c r="K8" s="17">
        <f>(Assumptions!J12+((Assumptions!J5*Assumptions!J6)*Assumptions!J13))*-1</f>
        <v>-114738.31249999999</v>
      </c>
      <c r="L8" s="17">
        <f>(Assumptions!K12+((Assumptions!K5*Assumptions!K6)*Assumptions!K13))*-1</f>
        <v>-102118.21250000001</v>
      </c>
      <c r="M8" s="17">
        <f>(Assumptions!L12+((Assumptions!L5*Assumptions!L6)*Assumptions!L13))*-1</f>
        <v>-124268.63281249999</v>
      </c>
      <c r="N8" s="17">
        <f>(Assumptions!M12+((Assumptions!M5*Assumptions!M6)*Assumptions!M13))*-1</f>
        <v>-106265.70000000001</v>
      </c>
      <c r="O8" s="17">
        <f>(Assumptions!N12+((Assumptions!N5*Assumptions!N6)*Assumptions!N13))*-1</f>
        <v>-126317.526875</v>
      </c>
      <c r="P8" s="17">
        <f>(Assumptions!O12+((Assumptions!O5*Assumptions!O6)*Assumptions!O13))*-1</f>
        <v>-111410.03375000002</v>
      </c>
      <c r="Q8" s="17">
        <f>(Assumptions!P12+((Assumptions!P5*Assumptions!P6)*Assumptions!P13))*-1</f>
        <v>-134654.80976562502</v>
      </c>
      <c r="R8" s="17">
        <f>(Assumptions!Q12+((Assumptions!Q5*Assumptions!Q6)*Assumptions!Q13))*-1</f>
        <v>-116226.96160000004</v>
      </c>
      <c r="S8" s="17">
        <f>(Assumptions!R12+((Assumptions!R5*Assumptions!R6)*Assumptions!R13))*-1</f>
        <v>-137141.87802249999</v>
      </c>
      <c r="T8" s="17">
        <f>(Assumptions!S12+((Assumptions!S5*Assumptions!S6)*Assumptions!S13))*-1</f>
        <v>-119873.88679000002</v>
      </c>
      <c r="U8" s="17">
        <f>(Assumptions!T12+((Assumptions!T5*Assumptions!T6)*Assumptions!T13))*-1</f>
        <v>-143745.05122656253</v>
      </c>
      <c r="V8" s="17">
        <f>(Assumptions!U12+((Assumptions!U5*Assumptions!U6)*Assumptions!U13))*-1</f>
        <v>-120356.04006400004</v>
      </c>
      <c r="W8" s="17">
        <f>(Assumptions!V12+((Assumptions!V5*Assumptions!V6)*Assumptions!V13))*-1</f>
        <v>-140866.13436317502</v>
      </c>
      <c r="X8" s="17">
        <f>(Assumptions!W12+((Assumptions!W5*Assumptions!W6)*Assumptions!W13))*-1</f>
        <v>-122011.36452580003</v>
      </c>
      <c r="Y8" s="17">
        <f>(Assumptions!X12+((Assumptions!X5*Assumptions!X6)*Assumptions!X13))*-1</f>
        <v>-145052.50173882814</v>
      </c>
    </row>
    <row r="9" spans="1:25" x14ac:dyDescent="0.3">
      <c r="B9" s="13" t="s">
        <v>104</v>
      </c>
      <c r="C9" s="95">
        <v>-7280.0000000000009</v>
      </c>
      <c r="D9" s="95">
        <v>-7025.2000000000007</v>
      </c>
      <c r="E9" s="95">
        <v>-6779.3180000000002</v>
      </c>
      <c r="F9" s="95">
        <v>-6542.04187</v>
      </c>
      <c r="G9" s="96">
        <f>-F13*Assumptions!F18</f>
        <v>-6313.0704045500006</v>
      </c>
      <c r="H9" s="96">
        <f>-G13*Assumptions!G18</f>
        <v>-6092.1129403907507</v>
      </c>
      <c r="I9" s="96">
        <f>-H13*Assumptions!H18</f>
        <v>-5878.8889874770748</v>
      </c>
      <c r="J9" s="96">
        <f>-I13*Assumptions!I18</f>
        <v>-9313.1278729153764</v>
      </c>
      <c r="K9" s="96">
        <f>-J13*Assumptions!J18</f>
        <v>-8987.168397363339</v>
      </c>
      <c r="L9" s="96">
        <f>-K13*Assumptions!K18</f>
        <v>-8672.6175034556218</v>
      </c>
      <c r="M9" s="96">
        <f>-L13*Assumptions!L18</f>
        <v>-8369.0758908346743</v>
      </c>
      <c r="N9" s="96">
        <f>-M13*Assumptions!M18</f>
        <v>-11716.158234655461</v>
      </c>
      <c r="O9" s="96">
        <f>-N13*Assumptions!N18</f>
        <v>-11306.09269644252</v>
      </c>
      <c r="P9" s="96">
        <f>-O13*Assumptions!O18</f>
        <v>-10910.379452067033</v>
      </c>
      <c r="Q9" s="96">
        <f>-P13*Assumptions!P18</f>
        <v>-10528.516171244688</v>
      </c>
      <c r="R9" s="96">
        <f>-Q13*Assumptions!Q18</f>
        <v>-11980.018105251123</v>
      </c>
      <c r="S9" s="96">
        <f>-R13*Assumptions!R18</f>
        <v>-11560.717471567334</v>
      </c>
      <c r="T9" s="96">
        <f>-S13*Assumptions!S18</f>
        <v>-11156.092360062477</v>
      </c>
      <c r="U9" s="96">
        <f>-T13*Assumptions!T18</f>
        <v>-10765.629127460292</v>
      </c>
      <c r="V9" s="96">
        <f>-U13*Assumptions!U18</f>
        <v>-12208.83210799918</v>
      </c>
      <c r="W9" s="96">
        <f>-V13*Assumptions!V18</f>
        <v>-11781.522984219209</v>
      </c>
      <c r="X9" s="96">
        <f>-W13*Assumptions!W18</f>
        <v>-11369.169679771538</v>
      </c>
      <c r="Y9" s="96">
        <f>-X13*Assumptions!X18</f>
        <v>-10971.248740979534</v>
      </c>
    </row>
    <row r="10" spans="1:25" x14ac:dyDescent="0.3">
      <c r="B10" s="13" t="s">
        <v>105</v>
      </c>
      <c r="C10" s="22">
        <v>-65000</v>
      </c>
      <c r="D10" s="22">
        <v>-65166.666666666664</v>
      </c>
      <c r="E10" s="22">
        <v>-65500</v>
      </c>
      <c r="F10" s="22">
        <v>-65666.666666666672</v>
      </c>
      <c r="G10" s="17">
        <f>-F14*Assumptions!F21</f>
        <v>-66500</v>
      </c>
      <c r="H10" s="17">
        <f>-G14*Assumptions!G21</f>
        <v>-66666.666666666672</v>
      </c>
      <c r="I10" s="17">
        <f>-H14*Assumptions!H21</f>
        <v>-66666.666666666672</v>
      </c>
      <c r="J10" s="17">
        <f>-I14*Assumptions!I21</f>
        <v>-66666.666666666672</v>
      </c>
      <c r="K10" s="17">
        <f>-J14*Assumptions!J21</f>
        <v>-66666.666666666672</v>
      </c>
      <c r="L10" s="17">
        <f>-K14*Assumptions!K21</f>
        <v>-71666.666666666672</v>
      </c>
      <c r="M10" s="17">
        <f>-L14*Assumptions!L21</f>
        <v>-71666.666666666672</v>
      </c>
      <c r="N10" s="17">
        <f>-M14*Assumptions!M21</f>
        <v>-71666.666666666672</v>
      </c>
      <c r="O10" s="17">
        <f>-N14*Assumptions!N21</f>
        <v>-71666.666666666672</v>
      </c>
      <c r="P10" s="17">
        <f>-O14*Assumptions!O21</f>
        <v>-76666.666666666672</v>
      </c>
      <c r="Q10" s="17">
        <f>-P14*Assumptions!P21</f>
        <v>-76666.666666666672</v>
      </c>
      <c r="R10" s="17">
        <f>-Q14*Assumptions!Q21</f>
        <v>-76666.666666666672</v>
      </c>
      <c r="S10" s="17">
        <f>-R14*Assumptions!R21</f>
        <v>-76666.666666666672</v>
      </c>
      <c r="T10" s="17">
        <f>-S14*Assumptions!S21</f>
        <v>-83333.333333333328</v>
      </c>
      <c r="U10" s="17">
        <f>-T14*Assumptions!T21</f>
        <v>-83333.333333333328</v>
      </c>
      <c r="V10" s="17">
        <f>-U14*Assumptions!U21</f>
        <v>-83333.333333333328</v>
      </c>
      <c r="W10" s="17">
        <f>-V14*Assumptions!V21</f>
        <v>-83333.333333333328</v>
      </c>
      <c r="X10" s="17">
        <f>-W14*Assumptions!W21</f>
        <v>-91666.666666666672</v>
      </c>
      <c r="Y10" s="17">
        <f>-X14*Assumptions!X21</f>
        <v>-91666.666666666672</v>
      </c>
    </row>
    <row r="11" spans="1:25" x14ac:dyDescent="0.3">
      <c r="B11" s="13" t="s">
        <v>106</v>
      </c>
      <c r="C11" s="22">
        <v>292765</v>
      </c>
      <c r="D11" s="22">
        <v>249405.63333333333</v>
      </c>
      <c r="E11" s="22">
        <v>338626.93199999997</v>
      </c>
      <c r="F11" s="22">
        <v>275440.0414633333</v>
      </c>
      <c r="G11" s="17">
        <f>G6+G8+G9+G10</f>
        <v>359510.02959544997</v>
      </c>
      <c r="H11" s="17">
        <f t="shared" ref="H11:Y11" si="1">H6+H8+H9+H10</f>
        <v>308296.27039294253</v>
      </c>
      <c r="I11" s="17">
        <f t="shared" si="1"/>
        <v>409669.75684585626</v>
      </c>
      <c r="J11" s="17">
        <f t="shared" si="1"/>
        <v>350941.83046041796</v>
      </c>
      <c r="K11" s="17">
        <f t="shared" si="1"/>
        <v>449976.15243596991</v>
      </c>
      <c r="L11" s="17">
        <f t="shared" si="1"/>
        <v>379096.24332987767</v>
      </c>
      <c r="M11" s="17">
        <f t="shared" si="1"/>
        <v>495582.31212999852</v>
      </c>
      <c r="N11" s="17">
        <f t="shared" si="1"/>
        <v>397385.25109867792</v>
      </c>
      <c r="O11" s="17">
        <f t="shared" si="1"/>
        <v>503280.86266189074</v>
      </c>
      <c r="P11" s="17">
        <f t="shared" si="1"/>
        <v>420253.54433126637</v>
      </c>
      <c r="Q11" s="17">
        <f t="shared" si="1"/>
        <v>542917.92608396371</v>
      </c>
      <c r="R11" s="17">
        <f t="shared" si="1"/>
        <v>448461.55362808233</v>
      </c>
      <c r="S11" s="17">
        <f t="shared" si="1"/>
        <v>560338.82658926595</v>
      </c>
      <c r="T11" s="17">
        <f t="shared" si="1"/>
        <v>462053.69251660426</v>
      </c>
      <c r="U11" s="17">
        <f t="shared" si="1"/>
        <v>589656.31053139397</v>
      </c>
      <c r="V11" s="17">
        <f t="shared" si="1"/>
        <v>463570.40249466774</v>
      </c>
      <c r="W11" s="17">
        <f t="shared" si="1"/>
        <v>573298.34073177236</v>
      </c>
      <c r="X11" s="17">
        <f t="shared" si="1"/>
        <v>464898.14422776207</v>
      </c>
      <c r="Y11" s="17">
        <f t="shared" si="1"/>
        <v>588084.9103144632</v>
      </c>
    </row>
    <row r="12" spans="1:25" x14ac:dyDescent="0.3">
      <c r="C12" s="22"/>
      <c r="D12" s="22"/>
      <c r="E12" s="22"/>
      <c r="F12" s="22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 x14ac:dyDescent="0.3">
      <c r="B13" s="13" t="s">
        <v>107</v>
      </c>
      <c r="C13" s="95">
        <v>200720</v>
      </c>
      <c r="D13" s="95">
        <v>193694.8</v>
      </c>
      <c r="E13" s="95">
        <v>186915.48199999999</v>
      </c>
      <c r="F13" s="95">
        <v>180373.44013</v>
      </c>
      <c r="G13" s="96">
        <f>(Assumptions!F16*Assumptions!F17)+F13+G9</f>
        <v>174060.36972545</v>
      </c>
      <c r="H13" s="96">
        <f>(Assumptions!G16*Assumptions!G17)+G13+H9</f>
        <v>167968.25678505926</v>
      </c>
      <c r="I13" s="96">
        <f>(Assumptions!H16*Assumptions!H17)+H13+I9</f>
        <v>266089.36779758218</v>
      </c>
      <c r="J13" s="96">
        <f>(Assumptions!I16*Assumptions!I17)+I13+J9</f>
        <v>256776.23992466679</v>
      </c>
      <c r="K13" s="96">
        <f>(Assumptions!J16*Assumptions!J17)+J13+K9</f>
        <v>247789.07152730346</v>
      </c>
      <c r="L13" s="96">
        <f>(Assumptions!K16*Assumptions!K17)+K13+L9</f>
        <v>239116.45402384782</v>
      </c>
      <c r="M13" s="96">
        <f>(Assumptions!L16*Assumptions!L17)+L13+M9</f>
        <v>334747.37813301315</v>
      </c>
      <c r="N13" s="96">
        <f>(Assumptions!M16*Assumptions!M17)+M13+N9</f>
        <v>323031.2198983577</v>
      </c>
      <c r="O13" s="96">
        <f>(Assumptions!N16*Assumptions!N17)+N13+O9</f>
        <v>311725.12720191519</v>
      </c>
      <c r="P13" s="96">
        <f>(Assumptions!O16*Assumptions!O17)+O13+P9</f>
        <v>300814.74774984817</v>
      </c>
      <c r="Q13" s="96">
        <f>(Assumptions!P16*Assumptions!P17)+P13+Q9</f>
        <v>342286.2315786035</v>
      </c>
      <c r="R13" s="96">
        <f>(Assumptions!Q16*Assumptions!Q17)+Q13+R9</f>
        <v>330306.21347335237</v>
      </c>
      <c r="S13" s="96">
        <f>(Assumptions!R16*Assumptions!R17)+R13+S9</f>
        <v>318745.49600178504</v>
      </c>
      <c r="T13" s="96">
        <f>(Assumptions!S16*Assumptions!S17)+S13+T9</f>
        <v>307589.40364172257</v>
      </c>
      <c r="U13" s="96">
        <f>(Assumptions!T16*Assumptions!T17)+T13+U9</f>
        <v>348823.77451426227</v>
      </c>
      <c r="V13" s="96">
        <f>(Assumptions!U16*Assumptions!U17)+U13+V9</f>
        <v>336614.94240626309</v>
      </c>
      <c r="W13" s="96">
        <f>(Assumptions!V16*Assumptions!V17)+V13+W9</f>
        <v>324833.41942204389</v>
      </c>
      <c r="X13" s="96">
        <f>(Assumptions!W16*Assumptions!W17)+W13+X9</f>
        <v>313464.24974227237</v>
      </c>
      <c r="Y13" s="96">
        <f>(Assumptions!X16*Assumptions!X17)+X13+Y9</f>
        <v>354493.00100129284</v>
      </c>
    </row>
    <row r="14" spans="1:25" ht="15.5" x14ac:dyDescent="0.45">
      <c r="B14" s="13" t="s">
        <v>108</v>
      </c>
      <c r="C14" s="24">
        <v>3910000</v>
      </c>
      <c r="D14" s="24">
        <v>3930000</v>
      </c>
      <c r="E14" s="24">
        <v>3940000</v>
      </c>
      <c r="F14" s="24">
        <v>3990000</v>
      </c>
      <c r="G14" s="25">
        <f>Assumptions!F20</f>
        <v>4000000</v>
      </c>
      <c r="H14" s="25">
        <f>Assumptions!G20</f>
        <v>4000000</v>
      </c>
      <c r="I14" s="25">
        <f>Assumptions!H20</f>
        <v>4000000</v>
      </c>
      <c r="J14" s="25">
        <f>Assumptions!I20</f>
        <v>4000000</v>
      </c>
      <c r="K14" s="25">
        <f>Assumptions!J20</f>
        <v>4300000</v>
      </c>
      <c r="L14" s="25">
        <f>Assumptions!K20</f>
        <v>4300000</v>
      </c>
      <c r="M14" s="25">
        <f>Assumptions!L20</f>
        <v>4300000</v>
      </c>
      <c r="N14" s="25">
        <f>Assumptions!M20</f>
        <v>4300000</v>
      </c>
      <c r="O14" s="25">
        <f>Assumptions!N20</f>
        <v>4600000</v>
      </c>
      <c r="P14" s="25">
        <f>Assumptions!O20</f>
        <v>4600000</v>
      </c>
      <c r="Q14" s="25">
        <f>Assumptions!P20</f>
        <v>4600000</v>
      </c>
      <c r="R14" s="25">
        <f>Assumptions!Q20</f>
        <v>4600000</v>
      </c>
      <c r="S14" s="25">
        <f>Assumptions!R20</f>
        <v>5000000</v>
      </c>
      <c r="T14" s="25">
        <f>Assumptions!S20</f>
        <v>5000000</v>
      </c>
      <c r="U14" s="25">
        <f>Assumptions!T20</f>
        <v>5000000</v>
      </c>
      <c r="V14" s="25">
        <f>Assumptions!U20</f>
        <v>5000000</v>
      </c>
      <c r="W14" s="25">
        <f>Assumptions!V20</f>
        <v>5500000</v>
      </c>
      <c r="X14" s="25">
        <f>Assumptions!W20</f>
        <v>5500000</v>
      </c>
      <c r="Y14" s="25">
        <f>Assumptions!X20</f>
        <v>5500000</v>
      </c>
    </row>
    <row r="15" spans="1:25" x14ac:dyDescent="0.3">
      <c r="B15" s="13" t="s">
        <v>109</v>
      </c>
      <c r="C15" s="22">
        <v>4110720</v>
      </c>
      <c r="D15" s="22">
        <v>4123694.8</v>
      </c>
      <c r="E15" s="22">
        <v>4126915.4819999998</v>
      </c>
      <c r="F15" s="22">
        <v>4170373.44013</v>
      </c>
      <c r="G15" s="17">
        <f>SUM(G13:G14)</f>
        <v>4174060.3697254499</v>
      </c>
      <c r="H15" s="17">
        <f t="shared" ref="H15:Y15" si="2">SUM(H13:H14)</f>
        <v>4167968.2567850593</v>
      </c>
      <c r="I15" s="17">
        <f t="shared" si="2"/>
        <v>4266089.3677975824</v>
      </c>
      <c r="J15" s="17">
        <f t="shared" si="2"/>
        <v>4256776.2399246665</v>
      </c>
      <c r="K15" s="17">
        <f t="shared" si="2"/>
        <v>4547789.0715273032</v>
      </c>
      <c r="L15" s="17">
        <f t="shared" si="2"/>
        <v>4539116.4540238474</v>
      </c>
      <c r="M15" s="17">
        <f t="shared" si="2"/>
        <v>4634747.3781330129</v>
      </c>
      <c r="N15" s="17">
        <f t="shared" si="2"/>
        <v>4623031.219898358</v>
      </c>
      <c r="O15" s="17">
        <f t="shared" si="2"/>
        <v>4911725.1272019148</v>
      </c>
      <c r="P15" s="17">
        <f t="shared" si="2"/>
        <v>4900814.7477498483</v>
      </c>
      <c r="Q15" s="17">
        <f t="shared" si="2"/>
        <v>4942286.2315786034</v>
      </c>
      <c r="R15" s="17">
        <f t="shared" si="2"/>
        <v>4930306.2134733526</v>
      </c>
      <c r="S15" s="17">
        <f t="shared" si="2"/>
        <v>5318745.4960017847</v>
      </c>
      <c r="T15" s="17">
        <f t="shared" si="2"/>
        <v>5307589.4036417222</v>
      </c>
      <c r="U15" s="17">
        <f t="shared" si="2"/>
        <v>5348823.7745142626</v>
      </c>
      <c r="V15" s="17">
        <f t="shared" si="2"/>
        <v>5336614.9424062632</v>
      </c>
      <c r="W15" s="17">
        <f t="shared" si="2"/>
        <v>5824833.4194220435</v>
      </c>
      <c r="X15" s="17">
        <f t="shared" si="2"/>
        <v>5813464.2497422723</v>
      </c>
      <c r="Y15" s="17">
        <f t="shared" si="2"/>
        <v>5854493.0010012928</v>
      </c>
    </row>
    <row r="16" spans="1:25" x14ac:dyDescent="0.3">
      <c r="C16" s="22"/>
      <c r="D16" s="22"/>
      <c r="E16" s="22"/>
      <c r="F16" s="22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spans="2:25" x14ac:dyDescent="0.3">
      <c r="B17" s="13" t="s">
        <v>110</v>
      </c>
      <c r="C17" s="22">
        <v>52650</v>
      </c>
      <c r="D17" s="22">
        <v>46575</v>
      </c>
      <c r="E17" s="22">
        <v>59062.5</v>
      </c>
      <c r="F17" s="22">
        <v>50287.5</v>
      </c>
      <c r="G17" s="17">
        <f>Assumptions!F24*(Assumptions!F5*Assumptions!F6)</f>
        <v>62127</v>
      </c>
      <c r="H17" s="17">
        <f>Assumptions!G24*(Assumptions!G5*Assumptions!G6)</f>
        <v>54958.5</v>
      </c>
      <c r="I17" s="17">
        <f>Assumptions!H24*(Assumptions!H5*Assumptions!H6)</f>
        <v>69103.125</v>
      </c>
      <c r="J17" s="17">
        <f>Assumptions!I24*(Assumptions!I5*Assumptions!I6)</f>
        <v>60277.95</v>
      </c>
      <c r="K17" s="17">
        <f>Assumptions!J24*(Assumptions!J5*Assumptions!J6)</f>
        <v>73827.584999999992</v>
      </c>
      <c r="L17" s="17">
        <f>Assumptions!K24*(Assumptions!K5*Assumptions!K6)</f>
        <v>64741.113000000005</v>
      </c>
      <c r="M17" s="17">
        <f>Assumptions!L24*(Assumptions!L5*Assumptions!L6)</f>
        <v>80689.41562499998</v>
      </c>
      <c r="N17" s="17">
        <f>Assumptions!M24*(Assumptions!M5*Assumptions!M6)</f>
        <v>67511.304000000004</v>
      </c>
      <c r="O17" s="17">
        <f>Assumptions!N24*(Assumptions!N5*Assumptions!N6)</f>
        <v>81948.619349999994</v>
      </c>
      <c r="P17" s="17">
        <f>Assumptions!O24*(Assumptions!O5*Assumptions!O6)</f>
        <v>71215.224300000016</v>
      </c>
      <c r="Q17" s="17">
        <f>Assumptions!P24*(Assumptions!P5*Assumptions!P6)</f>
        <v>87951.463031250008</v>
      </c>
      <c r="R17" s="17">
        <f>Assumptions!Q24*(Assumptions!Q5*Assumptions!Q6)</f>
        <v>74323.412352000028</v>
      </c>
      <c r="S17" s="17">
        <f>Assumptions!R24*(Assumptions!R5*Assumptions!R6)</f>
        <v>89382.15217619999</v>
      </c>
      <c r="T17" s="17">
        <f>Assumptions!S24*(Assumptions!S5*Assumptions!S6)</f>
        <v>76949.198488800015</v>
      </c>
      <c r="U17" s="17">
        <f>Assumptions!T24*(Assumptions!T5*Assumptions!T6)</f>
        <v>94136.436883125018</v>
      </c>
      <c r="V17" s="17">
        <f>Assumptions!U24*(Assumptions!U5*Assumptions!U6)</f>
        <v>77296.348846080029</v>
      </c>
      <c r="W17" s="17">
        <f>Assumptions!V24*(Assumptions!V5*Assumptions!V6)</f>
        <v>92063.616741485996</v>
      </c>
      <c r="X17" s="17">
        <f>Assumptions!W24*(Assumptions!W5*Assumptions!W6)</f>
        <v>78488.182458576019</v>
      </c>
      <c r="Y17" s="17">
        <f>Assumptions!X24*(Assumptions!X5*Assumptions!X6)</f>
        <v>95077.801251956262</v>
      </c>
    </row>
    <row r="18" spans="2:25" x14ac:dyDescent="0.3">
      <c r="B18" s="13" t="s">
        <v>111</v>
      </c>
      <c r="C18" s="95">
        <v>109747.06849315068</v>
      </c>
      <c r="D18" s="95">
        <v>97083.945205479467</v>
      </c>
      <c r="E18" s="95">
        <v>123113.69863013699</v>
      </c>
      <c r="F18" s="95">
        <v>104822.52054794521</v>
      </c>
      <c r="G18" s="96">
        <f>-(Assumptions!F25/(365/4))*Manufacturing!G5</f>
        <v>129501.54082191782</v>
      </c>
      <c r="H18" s="96">
        <f>-(Assumptions!G25/(365/4))*Manufacturing!H5</f>
        <v>114559.05534246576</v>
      </c>
      <c r="I18" s="96">
        <f>-(Assumptions!H25/(365/4))*Manufacturing!I5</f>
        <v>144043.02739726027</v>
      </c>
      <c r="J18" s="96">
        <f>-(Assumptions!I25/(365/4))*Manufacturing!J5</f>
        <v>119141.21643835616</v>
      </c>
      <c r="K18" s="96">
        <f>-(Assumptions!J25/(365/4))*Manufacturing!K5</f>
        <v>143950.56</v>
      </c>
      <c r="L18" s="96">
        <f>-(Assumptions!K25/(365/4))*Manufacturing!L5</f>
        <v>126233.56800000003</v>
      </c>
      <c r="M18" s="96">
        <f>-(Assumptions!L25/(365/4))*Manufacturing!M5</f>
        <v>157329.9</v>
      </c>
      <c r="N18" s="96">
        <f>-(Assumptions!M25/(365/4))*Manufacturing!N5</f>
        <v>130473.45920000003</v>
      </c>
      <c r="O18" s="96">
        <f>-(Assumptions!N25/(365/4))*Manufacturing!O5</f>
        <v>158375.25288000001</v>
      </c>
      <c r="P18" s="96">
        <f>-(Assumptions!O25/(365/4))*Manufacturing!P5</f>
        <v>137631.71664000003</v>
      </c>
      <c r="Q18" s="96">
        <f>-(Assumptions!P25/(365/4))*Manufacturing!Q5</f>
        <v>169976.44755000004</v>
      </c>
      <c r="R18" s="96">
        <f>-(Assumptions!Q25/(365/4))*Manufacturing!R5</f>
        <v>136094.19705863018</v>
      </c>
      <c r="S18" s="96">
        <f>-(Assumptions!R25/(365/4))*Manufacturing!S5</f>
        <v>163668.37644887672</v>
      </c>
      <c r="T18" s="96">
        <f>-(Assumptions!S25/(365/4))*Manufacturing!T5</f>
        <v>140902.29513468494</v>
      </c>
      <c r="U18" s="96">
        <f>-(Assumptions!T25/(365/4))*Manufacturing!U5</f>
        <v>172373.9853452055</v>
      </c>
      <c r="V18" s="96">
        <f>-(Assumptions!U25/(365/4))*Manufacturing!V5</f>
        <v>141537.96494097539</v>
      </c>
      <c r="W18" s="96">
        <f>-(Assumptions!V25/(365/4))*Manufacturing!W5</f>
        <v>168578.42774234302</v>
      </c>
      <c r="X18" s="96">
        <f>-(Assumptions!W25/(365/4))*Manufacturing!X5</f>
        <v>143720.34103737868</v>
      </c>
      <c r="Y18" s="96">
        <f>-(Assumptions!X25/(365/4))*Manufacturing!Y5</f>
        <v>174097.72519865757</v>
      </c>
    </row>
    <row r="19" spans="2:25" x14ac:dyDescent="0.3">
      <c r="B19" s="13" t="s">
        <v>112</v>
      </c>
      <c r="C19" s="95">
        <v>205150.68493150684</v>
      </c>
      <c r="D19" s="95">
        <v>181479.45205479453</v>
      </c>
      <c r="E19" s="95">
        <v>230136.98630136988</v>
      </c>
      <c r="F19" s="95">
        <v>195945.20547945207</v>
      </c>
      <c r="G19" s="96">
        <f>(Assumptions!F26/(365/4))*Manufacturing!G4</f>
        <v>242077.80821917808</v>
      </c>
      <c r="H19" s="96">
        <f>(Assumptions!G26/(365/4))*Manufacturing!H4</f>
        <v>214145.75342465754</v>
      </c>
      <c r="I19" s="96">
        <f>(Assumptions!H26/(365/4))*Manufacturing!I4</f>
        <v>269260.27397260274</v>
      </c>
      <c r="J19" s="96">
        <f>(Assumptions!I26/(365/4))*Manufacturing!J4</f>
        <v>234872.98630136988</v>
      </c>
      <c r="K19" s="96">
        <f>(Assumptions!J26/(365/4))*Manufacturing!K4</f>
        <v>287669.12876712327</v>
      </c>
      <c r="L19" s="96">
        <f>(Assumptions!K26/(365/4))*Manufacturing!L4</f>
        <v>252263.6975342466</v>
      </c>
      <c r="M19" s="96">
        <f>(Assumptions!L26/(365/4))*Manufacturing!M4</f>
        <v>314406.24657534243</v>
      </c>
      <c r="N19" s="96">
        <f>(Assumptions!M26/(365/4))*Manufacturing!N4</f>
        <v>263057.74465753429</v>
      </c>
      <c r="O19" s="96">
        <f>(Assumptions!N26/(365/4))*Manufacturing!O4</f>
        <v>319312.73293150682</v>
      </c>
      <c r="P19" s="96">
        <f>(Assumptions!O26/(365/4))*Manufacturing!P4</f>
        <v>277490.06728767126</v>
      </c>
      <c r="Q19" s="96">
        <f>(Assumptions!P26/(365/4))*Manufacturing!Q4</f>
        <v>342702.80876712332</v>
      </c>
      <c r="R19" s="96">
        <f>(Assumptions!Q26/(365/4))*Manufacturing!R4</f>
        <v>289601.11966684944</v>
      </c>
      <c r="S19" s="96">
        <f>(Assumptions!R26/(365/4))*Manufacturing!S4</f>
        <v>348277.48793161643</v>
      </c>
      <c r="T19" s="96">
        <f>(Assumptions!S26/(365/4))*Manufacturing!T4</f>
        <v>299832.49335057539</v>
      </c>
      <c r="U19" s="96">
        <f>(Assumptions!T26/(365/4))*Manufacturing!U4</f>
        <v>366802.55467397271</v>
      </c>
      <c r="V19" s="96">
        <f>(Assumptions!U26/(365/4))*Manufacturing!V4</f>
        <v>301185.16445352341</v>
      </c>
      <c r="W19" s="96">
        <f>(Assumptions!V26/(365/4))*Manufacturing!W4</f>
        <v>358725.81256956497</v>
      </c>
      <c r="X19" s="96">
        <f>(Assumptions!W26/(365/4))*Manufacturing!X4</f>
        <v>305829.14321758697</v>
      </c>
      <c r="Y19" s="96">
        <f>(Assumptions!X26/(365/4))*Manufacturing!Y4</f>
        <v>370470.58022071235</v>
      </c>
    </row>
    <row r="20" spans="2:25" x14ac:dyDescent="0.3">
      <c r="B20" s="13" t="s">
        <v>113</v>
      </c>
      <c r="C20" s="95">
        <v>37076.71232876712</v>
      </c>
      <c r="D20" s="95">
        <v>32798.630136986307</v>
      </c>
      <c r="E20" s="95">
        <v>41592.465753424658</v>
      </c>
      <c r="F20" s="95">
        <v>35413.013698630144</v>
      </c>
      <c r="G20" s="96">
        <f>-(Assumptions!F27/(365/4))*Manufacturing!G5</f>
        <v>17500.208219178083</v>
      </c>
      <c r="H20" s="96">
        <f>-(Assumptions!G27/(365/4))*Manufacturing!H5</f>
        <v>15480.953424657535</v>
      </c>
      <c r="I20" s="96">
        <f>-(Assumptions!H27/(365/4))*Manufacturing!I5</f>
        <v>19465.273972602739</v>
      </c>
      <c r="J20" s="96">
        <f>-(Assumptions!I27/(365/4))*Manufacturing!J5</f>
        <v>17710.180821917809</v>
      </c>
      <c r="K20" s="96">
        <f>-(Assumptions!J27/(365/4))*Manufacturing!K5</f>
        <v>21691.180273972601</v>
      </c>
      <c r="L20" s="96">
        <f>-(Assumptions!K27/(365/4))*Manufacturing!L5</f>
        <v>20750.723506849317</v>
      </c>
      <c r="M20" s="96">
        <f>-(Assumptions!L27/(365/4))*Manufacturing!M5</f>
        <v>25862.449315068487</v>
      </c>
      <c r="N20" s="96">
        <f>-(Assumptions!M27/(365/4))*Manufacturing!N5</f>
        <v>23234.999583561646</v>
      </c>
      <c r="O20" s="96">
        <f>-(Assumptions!N27/(365/4))*Manufacturing!O5</f>
        <v>28203.812156712327</v>
      </c>
      <c r="P20" s="96">
        <f>-(Assumptions!O27/(365/4))*Manufacturing!P5</f>
        <v>26395.123739178089</v>
      </c>
      <c r="Q20" s="96">
        <f>-(Assumptions!P27/(365/4))*Manufacturing!Q5</f>
        <v>32598.22281780823</v>
      </c>
      <c r="R20" s="96">
        <f>-(Assumptions!Q27/(365/4))*Manufacturing!R5</f>
        <v>28352.957720547955</v>
      </c>
      <c r="S20" s="96">
        <f>-(Assumptions!R27/(365/4))*Manufacturing!S5</f>
        <v>34097.578426849315</v>
      </c>
      <c r="T20" s="96">
        <f>-(Assumptions!S27/(365/4))*Manufacturing!T5</f>
        <v>29354.644819726029</v>
      </c>
      <c r="U20" s="96">
        <f>-(Assumptions!T27/(365/4))*Manufacturing!U5</f>
        <v>35911.24694691781</v>
      </c>
      <c r="V20" s="96">
        <f>-(Assumptions!U27/(365/4))*Manufacturing!V5</f>
        <v>29487.07602936987</v>
      </c>
      <c r="W20" s="96">
        <f>-(Assumptions!V27/(365/4))*Manufacturing!W5</f>
        <v>35120.505779654792</v>
      </c>
      <c r="X20" s="96">
        <f>-(Assumptions!W27/(365/4))*Manufacturing!X5</f>
        <v>29941.737716120555</v>
      </c>
      <c r="Y20" s="96">
        <f>-(Assumptions!X27/(365/4))*Manufacturing!Y5</f>
        <v>36270.359416386993</v>
      </c>
    </row>
    <row r="22" spans="2:25" x14ac:dyDescent="0.3"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6" spans="2:25" x14ac:dyDescent="0.3"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spans="2:25" x14ac:dyDescent="0.3"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spans="2:25" x14ac:dyDescent="0.3"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spans="2:25" x14ac:dyDescent="0.3">
      <c r="B29" s="23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3" spans="7:25" x14ac:dyDescent="0.3"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3"/>
  <sheetViews>
    <sheetView showGridLines="0" zoomScale="68" zoomScaleNormal="12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K15" sqref="K15"/>
    </sheetView>
  </sheetViews>
  <sheetFormatPr defaultColWidth="9.1796875" defaultRowHeight="14" x14ac:dyDescent="0.3"/>
  <cols>
    <col min="1" max="1" width="1.453125" style="13" customWidth="1"/>
    <col min="2" max="2" width="23.54296875" style="13" customWidth="1"/>
    <col min="3" max="25" width="14.54296875" style="13" customWidth="1"/>
    <col min="26" max="16384" width="9.1796875" style="13"/>
  </cols>
  <sheetData>
    <row r="1" spans="1:25" x14ac:dyDescent="0.3">
      <c r="A1" s="23" t="s">
        <v>114</v>
      </c>
    </row>
    <row r="2" spans="1:25" x14ac:dyDescent="0.3">
      <c r="C2" s="19" t="s">
        <v>96</v>
      </c>
      <c r="D2" s="19" t="s">
        <v>96</v>
      </c>
      <c r="E2" s="19" t="s">
        <v>96</v>
      </c>
      <c r="F2" s="19" t="s">
        <v>96</v>
      </c>
      <c r="G2" s="83" t="s">
        <v>97</v>
      </c>
      <c r="H2" s="83" t="s">
        <v>97</v>
      </c>
      <c r="I2" s="83" t="s">
        <v>97</v>
      </c>
      <c r="J2" s="83" t="s">
        <v>97</v>
      </c>
      <c r="K2" s="83" t="s">
        <v>97</v>
      </c>
      <c r="L2" s="83" t="s">
        <v>97</v>
      </c>
      <c r="M2" s="83" t="s">
        <v>97</v>
      </c>
      <c r="N2" s="83" t="s">
        <v>97</v>
      </c>
      <c r="O2" s="83" t="s">
        <v>97</v>
      </c>
      <c r="P2" s="83" t="s">
        <v>97</v>
      </c>
      <c r="Q2" s="83" t="s">
        <v>97</v>
      </c>
      <c r="R2" s="83" t="s">
        <v>97</v>
      </c>
      <c r="S2" s="83" t="s">
        <v>97</v>
      </c>
      <c r="T2" s="83" t="s">
        <v>97</v>
      </c>
      <c r="U2" s="83" t="s">
        <v>97</v>
      </c>
      <c r="V2" s="83" t="s">
        <v>97</v>
      </c>
      <c r="W2" s="83" t="s">
        <v>97</v>
      </c>
      <c r="X2" s="83" t="s">
        <v>97</v>
      </c>
      <c r="Y2" s="83" t="s">
        <v>97</v>
      </c>
    </row>
    <row r="3" spans="1:25" x14ac:dyDescent="0.3">
      <c r="C3" s="82" t="s">
        <v>98</v>
      </c>
      <c r="D3" s="82" t="s">
        <v>99</v>
      </c>
      <c r="E3" s="82" t="s">
        <v>100</v>
      </c>
      <c r="F3" s="82" t="s">
        <v>101</v>
      </c>
      <c r="G3" s="83" t="s">
        <v>2</v>
      </c>
      <c r="H3" s="83" t="s">
        <v>3</v>
      </c>
      <c r="I3" s="83" t="s">
        <v>4</v>
      </c>
      <c r="J3" s="83" t="s">
        <v>5</v>
      </c>
      <c r="K3" s="83" t="s">
        <v>6</v>
      </c>
      <c r="L3" s="83" t="s">
        <v>7</v>
      </c>
      <c r="M3" s="83" t="s">
        <v>8</v>
      </c>
      <c r="N3" s="83" t="s">
        <v>9</v>
      </c>
      <c r="O3" s="83" t="s">
        <v>10</v>
      </c>
      <c r="P3" s="83" t="s">
        <v>11</v>
      </c>
      <c r="Q3" s="83" t="s">
        <v>12</v>
      </c>
      <c r="R3" s="83" t="s">
        <v>13</v>
      </c>
      <c r="S3" s="83" t="s">
        <v>14</v>
      </c>
      <c r="T3" s="83" t="s">
        <v>15</v>
      </c>
      <c r="U3" s="83" t="s">
        <v>16</v>
      </c>
      <c r="V3" s="83" t="s">
        <v>17</v>
      </c>
      <c r="W3" s="83" t="s">
        <v>18</v>
      </c>
      <c r="X3" s="83" t="s">
        <v>19</v>
      </c>
      <c r="Y3" s="83" t="s">
        <v>20</v>
      </c>
    </row>
    <row r="4" spans="1:25" x14ac:dyDescent="0.3">
      <c r="B4" s="13" t="s">
        <v>102</v>
      </c>
      <c r="C4" s="22">
        <v>543000</v>
      </c>
      <c r="D4" s="22">
        <v>602840</v>
      </c>
      <c r="E4" s="22">
        <v>680499.19999999995</v>
      </c>
      <c r="F4" s="22">
        <v>748839.29599999997</v>
      </c>
      <c r="G4" s="17">
        <f>(Assumptions!F30*Service!F23)</f>
        <v>825645.24714666663</v>
      </c>
      <c r="H4" s="17">
        <f>(Assumptions!G30*Service!G23)</f>
        <v>893234.48415573325</v>
      </c>
      <c r="I4" s="17">
        <f>(Assumptions!H30*Service!H23)</f>
        <v>970930.06698727794</v>
      </c>
      <c r="J4" s="17">
        <f>(Assumptions!I30*Service!I23)</f>
        <v>1098640.3010759081</v>
      </c>
      <c r="K4" s="17">
        <f>(Assumptions!J30*Service!J23)</f>
        <v>1190412.9448806355</v>
      </c>
      <c r="L4" s="17">
        <f>(Assumptions!K30*Service!K23)</f>
        <v>1277685.941996397</v>
      </c>
      <c r="M4" s="17">
        <f>(Assumptions!L30*Service!L23)</f>
        <v>1374703.6775659828</v>
      </c>
      <c r="N4" s="17">
        <f>(Assumptions!M30*Service!M23)</f>
        <v>1501258.7093118506</v>
      </c>
      <c r="O4" s="17">
        <f>(Assumptions!N30*Service!N23)</f>
        <v>1613083.1324983125</v>
      </c>
      <c r="P4" s="17">
        <f>(Assumptions!O30*Service!O23)</f>
        <v>1713725.1133661284</v>
      </c>
      <c r="Q4" s="17">
        <f>(Assumptions!P30*Service!P23)</f>
        <v>1820019.9137942214</v>
      </c>
      <c r="R4" s="17">
        <f>(Assumptions!Q30*Service!Q23)</f>
        <v>1915685.2341795051</v>
      </c>
      <c r="S4" s="17">
        <f>(Assumptions!R30*Service!R23)</f>
        <v>2034120.2490408497</v>
      </c>
      <c r="T4" s="17">
        <f>(Assumptions!S30*Service!S23)</f>
        <v>2141896.1125646732</v>
      </c>
      <c r="U4" s="17">
        <f>(Assumptions!T30*Service!T23)</f>
        <v>2257422.9495276026</v>
      </c>
      <c r="V4" s="17">
        <f>(Assumptions!U30*Service!U23)</f>
        <v>2362552.3711638688</v>
      </c>
      <c r="W4" s="17">
        <f>(Assumptions!V30*Service!V23)</f>
        <v>2484381.3432149398</v>
      </c>
      <c r="X4" s="17">
        <f>(Assumptions!W30*Service!W23)</f>
        <v>2595854.85264167</v>
      </c>
      <c r="Y4" s="17">
        <f>(Assumptions!X30*Service!X23)</f>
        <v>2717211.8691831278</v>
      </c>
    </row>
    <row r="5" spans="1:25" x14ac:dyDescent="0.3">
      <c r="B5" s="13" t="s">
        <v>24</v>
      </c>
      <c r="C5" s="22">
        <v>-295392</v>
      </c>
      <c r="D5" s="22">
        <v>-327944.96000000002</v>
      </c>
      <c r="E5" s="22">
        <v>-370191.56479999999</v>
      </c>
      <c r="F5" s="22">
        <v>-419350.00575999997</v>
      </c>
      <c r="G5" s="17">
        <f>-F23*Assumptions!F35</f>
        <v>-462361.33840213332</v>
      </c>
      <c r="H5" s="17">
        <f>-G23*Assumptions!G35</f>
        <v>-500211.31112721062</v>
      </c>
      <c r="I5" s="17">
        <f>-H23*Assumptions!H35</f>
        <v>-543720.83751287556</v>
      </c>
      <c r="J5" s="17">
        <f>-I23*Assumptions!I35</f>
        <v>-603832.83723256027</v>
      </c>
      <c r="K5" s="17">
        <f>-J23*Assumptions!J35</f>
        <v>-654272.76359851717</v>
      </c>
      <c r="L5" s="17">
        <f>-K23*Assumptions!K35</f>
        <v>-702239.60170794337</v>
      </c>
      <c r="M5" s="17">
        <f>-L23*Assumptions!L35</f>
        <v>-755562.32660115079</v>
      </c>
      <c r="N5" s="17">
        <f>-M23*Assumptions!M35</f>
        <v>-829053.31708266377</v>
      </c>
      <c r="O5" s="17">
        <f>-N23*Assumptions!N35</f>
        <v>-890807.10302145616</v>
      </c>
      <c r="P5" s="17">
        <f>-O23*Assumptions!O35</f>
        <v>-946385.51036636939</v>
      </c>
      <c r="Q5" s="17">
        <f>-P23*Assumptions!P35</f>
        <v>-1005085.6240356148</v>
      </c>
      <c r="R5" s="17">
        <f>-Q23*Assumptions!Q35</f>
        <v>-1086508.0432659879</v>
      </c>
      <c r="S5" s="17">
        <f>-R23*Assumptions!R35</f>
        <v>-1153680.1412470492</v>
      </c>
      <c r="T5" s="17">
        <f>-S23*Assumptions!S35</f>
        <v>-1214806.7504098145</v>
      </c>
      <c r="U5" s="17">
        <f>-T23*Assumptions!T35</f>
        <v>-1280329.4340604313</v>
      </c>
      <c r="V5" s="17">
        <f>-U23*Assumptions!U35</f>
        <v>-1339955.0761824925</v>
      </c>
      <c r="W5" s="17">
        <f>-V23*Assumptions!V35</f>
        <v>-1409052.105106981</v>
      </c>
      <c r="X5" s="17">
        <f>-W23*Assumptions!W35</f>
        <v>-1472275.8865728877</v>
      </c>
      <c r="Y5" s="17">
        <f>-X23*Assumptions!X35</f>
        <v>-1541105.2392381919</v>
      </c>
    </row>
    <row r="6" spans="1:25" x14ac:dyDescent="0.3">
      <c r="B6" s="13" t="s">
        <v>103</v>
      </c>
      <c r="C6" s="22">
        <v>247608</v>
      </c>
      <c r="D6" s="22">
        <v>274895.03999999998</v>
      </c>
      <c r="E6" s="22">
        <v>310307.63519999996</v>
      </c>
      <c r="F6" s="22">
        <v>329489.29024</v>
      </c>
      <c r="G6" s="17">
        <f>SUM(G4:G5)</f>
        <v>363283.90874453331</v>
      </c>
      <c r="H6" s="17">
        <f t="shared" ref="H6:Y6" si="0">SUM(H4:H5)</f>
        <v>393023.17302852264</v>
      </c>
      <c r="I6" s="17">
        <f t="shared" si="0"/>
        <v>427209.22947440238</v>
      </c>
      <c r="J6" s="17">
        <f t="shared" si="0"/>
        <v>494807.46384334785</v>
      </c>
      <c r="K6" s="17">
        <f t="shared" si="0"/>
        <v>536140.18128211831</v>
      </c>
      <c r="L6" s="17">
        <f t="shared" si="0"/>
        <v>575446.34028845362</v>
      </c>
      <c r="M6" s="17">
        <f t="shared" si="0"/>
        <v>619141.350964832</v>
      </c>
      <c r="N6" s="17">
        <f t="shared" si="0"/>
        <v>672205.39222918684</v>
      </c>
      <c r="O6" s="17">
        <f t="shared" si="0"/>
        <v>722276.02947685635</v>
      </c>
      <c r="P6" s="17">
        <f t="shared" si="0"/>
        <v>767339.60299975902</v>
      </c>
      <c r="Q6" s="17">
        <f t="shared" si="0"/>
        <v>814934.28975860658</v>
      </c>
      <c r="R6" s="17">
        <f t="shared" si="0"/>
        <v>829177.19091351726</v>
      </c>
      <c r="S6" s="17">
        <f t="shared" si="0"/>
        <v>880440.10779380053</v>
      </c>
      <c r="T6" s="17">
        <f t="shared" si="0"/>
        <v>927089.36215485865</v>
      </c>
      <c r="U6" s="17">
        <f t="shared" si="0"/>
        <v>977093.51546717132</v>
      </c>
      <c r="V6" s="17">
        <f t="shared" si="0"/>
        <v>1022597.2949813763</v>
      </c>
      <c r="W6" s="17">
        <f t="shared" si="0"/>
        <v>1075329.2381079588</v>
      </c>
      <c r="X6" s="17">
        <f t="shared" si="0"/>
        <v>1123578.9660687824</v>
      </c>
      <c r="Y6" s="17">
        <f t="shared" si="0"/>
        <v>1176106.6299449359</v>
      </c>
    </row>
    <row r="7" spans="1:25" x14ac:dyDescent="0.3">
      <c r="C7" s="22"/>
      <c r="D7" s="22"/>
      <c r="E7" s="22"/>
      <c r="F7" s="22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 x14ac:dyDescent="0.3">
      <c r="B8" s="13" t="s">
        <v>26</v>
      </c>
      <c r="C8" s="22">
        <v>-310000</v>
      </c>
      <c r="D8" s="22">
        <v>-310000</v>
      </c>
      <c r="E8" s="22">
        <v>-310000</v>
      </c>
      <c r="F8" s="22">
        <v>-310000</v>
      </c>
      <c r="G8" s="17">
        <f>-SUM(Assumptions!F38:F39)</f>
        <v>-310000</v>
      </c>
      <c r="H8" s="17">
        <f>-SUM(Assumptions!G38:G39)</f>
        <v>-330000</v>
      </c>
      <c r="I8" s="17">
        <f>-SUM(Assumptions!H38:H39)</f>
        <v>-330000</v>
      </c>
      <c r="J8" s="17">
        <f>-SUM(Assumptions!I38:I39)</f>
        <v>-328500</v>
      </c>
      <c r="K8" s="17">
        <f>-SUM(Assumptions!J38:J39)</f>
        <v>-328500</v>
      </c>
      <c r="L8" s="17">
        <f>-SUM(Assumptions!K38:K39)</f>
        <v>-347490</v>
      </c>
      <c r="M8" s="17">
        <f>-SUM(Assumptions!L38:L39)</f>
        <v>-347490</v>
      </c>
      <c r="N8" s="17">
        <f>-SUM(Assumptions!M38:M39)</f>
        <v>-347325</v>
      </c>
      <c r="O8" s="17">
        <f>-SUM(Assumptions!N38:N39)</f>
        <v>-347325</v>
      </c>
      <c r="P8" s="17">
        <f>-SUM(Assumptions!O38:O39)</f>
        <v>-367264.5</v>
      </c>
      <c r="Q8" s="17">
        <f>-SUM(Assumptions!P38:P39)</f>
        <v>-367264.5</v>
      </c>
      <c r="R8" s="17">
        <f>-SUM(Assumptions!Q38:Q39)</f>
        <v>-367279.625</v>
      </c>
      <c r="S8" s="17">
        <f>-SUM(Assumptions!R38:R39)</f>
        <v>-367279.625</v>
      </c>
      <c r="T8" s="17">
        <f>-SUM(Assumptions!S38:S39)</f>
        <v>-388116.40249999997</v>
      </c>
      <c r="U8" s="17">
        <f>-SUM(Assumptions!T38:T39)</f>
        <v>-388116.40249999997</v>
      </c>
      <c r="V8" s="17">
        <f>-SUM(Assumptions!U38:U39)</f>
        <v>-386170.81</v>
      </c>
      <c r="W8" s="17">
        <f>-SUM(Assumptions!V38:V39)</f>
        <v>-386170.81</v>
      </c>
      <c r="X8" s="17">
        <f>-SUM(Assumptions!W38:W39)</f>
        <v>-407841.05859999999</v>
      </c>
      <c r="Y8" s="17">
        <f>-SUM(Assumptions!X38:X39)</f>
        <v>-407841.05859999999</v>
      </c>
    </row>
    <row r="9" spans="1:25" x14ac:dyDescent="0.3">
      <c r="B9" s="13" t="s">
        <v>115</v>
      </c>
      <c r="C9" s="95">
        <v>-70000</v>
      </c>
      <c r="D9" s="95">
        <v>-71020</v>
      </c>
      <c r="E9" s="95">
        <v>-72295.92</v>
      </c>
      <c r="F9" s="95">
        <v>-73566.736320000011</v>
      </c>
      <c r="G9" s="96">
        <f>-F12*(Assumptions!F45)</f>
        <v>-75059.136041386664</v>
      </c>
      <c r="H9" s="96">
        <f>-G12*(Assumptions!G45)</f>
        <v>-76545.566163887794</v>
      </c>
      <c r="I9" s="96">
        <f>-H12*(Assumptions!H45)</f>
        <v>-78221.337387604333</v>
      </c>
      <c r="J9" s="96">
        <f>-I12*(Assumptions!I45)</f>
        <v>-79987.08618439539</v>
      </c>
      <c r="K9" s="96">
        <f>-J12*(Assumptions!J45)</f>
        <v>-81906.983993503949</v>
      </c>
      <c r="L9" s="96">
        <f>-K12*(Assumptions!K45)</f>
        <v>-83878.145531214148</v>
      </c>
      <c r="M9" s="96">
        <f>-L12*(Assumptions!L45)</f>
        <v>-86045.207003143354</v>
      </c>
      <c r="N9" s="96">
        <f>-M12*(Assumptions!M45)</f>
        <v>-88273.116175130781</v>
      </c>
      <c r="O9" s="96">
        <f>-N12*(Assumptions!N45)</f>
        <v>-90695.914886900835</v>
      </c>
      <c r="P9" s="96">
        <f>-O12*(Assumptions!O45)</f>
        <v>-93109.022403823823</v>
      </c>
      <c r="Q9" s="96">
        <f>-P12*(Assumptions!P45)</f>
        <v>-95679.030961267359</v>
      </c>
      <c r="R9" s="96">
        <f>-Q12*(Assumptions!Q45)</f>
        <v>-98238.75948448111</v>
      </c>
      <c r="S9" s="96">
        <f>-R12*(Assumptions!R45)</f>
        <v>-101101.55093091818</v>
      </c>
      <c r="T9" s="96">
        <f>-S12*(Assumptions!S45)</f>
        <v>-103952.8912115695</v>
      </c>
      <c r="U9" s="96">
        <f>-T12*(Assumptions!T45)</f>
        <v>-106988.17092016072</v>
      </c>
      <c r="V9" s="96">
        <f>-U12*(Assumptions!U45)</f>
        <v>-110011.30950991757</v>
      </c>
      <c r="W9" s="96">
        <f>-V12*(Assumptions!V45)</f>
        <v>-113182.97237187791</v>
      </c>
      <c r="X9" s="96">
        <f>-W12*(Assumptions!W45)</f>
        <v>-116341.9485823904</v>
      </c>
      <c r="Y9" s="96">
        <f>-X12*(Assumptions!X45)</f>
        <v>-119704.99137406083</v>
      </c>
    </row>
    <row r="10" spans="1:25" x14ac:dyDescent="0.3">
      <c r="B10" s="13" t="s">
        <v>106</v>
      </c>
      <c r="C10" s="22">
        <v>-132392</v>
      </c>
      <c r="D10" s="22">
        <v>-106124.96000000002</v>
      </c>
      <c r="E10" s="22">
        <v>-71988.284800000038</v>
      </c>
      <c r="F10" s="22">
        <v>-54077.446080000009</v>
      </c>
      <c r="G10" s="17">
        <f>SUM(G6+G8+G9)</f>
        <v>-21775.227296853351</v>
      </c>
      <c r="H10" s="17">
        <f t="shared" ref="H10:Y10" si="1">SUM(H6+H8+H9)</f>
        <v>-13522.393135365157</v>
      </c>
      <c r="I10" s="17">
        <f t="shared" si="1"/>
        <v>18987.892086798049</v>
      </c>
      <c r="J10" s="17">
        <f t="shared" si="1"/>
        <v>86320.377658952464</v>
      </c>
      <c r="K10" s="17">
        <f t="shared" si="1"/>
        <v>125733.19728861436</v>
      </c>
      <c r="L10" s="17">
        <f t="shared" si="1"/>
        <v>144078.19475723949</v>
      </c>
      <c r="M10" s="17">
        <f t="shared" si="1"/>
        <v>185606.14396168865</v>
      </c>
      <c r="N10" s="17">
        <f t="shared" si="1"/>
        <v>236607.27605405607</v>
      </c>
      <c r="O10" s="17">
        <f t="shared" si="1"/>
        <v>284255.11458995554</v>
      </c>
      <c r="P10" s="17">
        <f t="shared" si="1"/>
        <v>306966.08059593523</v>
      </c>
      <c r="Q10" s="17">
        <f t="shared" si="1"/>
        <v>351990.75879733922</v>
      </c>
      <c r="R10" s="17">
        <f t="shared" si="1"/>
        <v>363658.80642903614</v>
      </c>
      <c r="S10" s="17">
        <f t="shared" si="1"/>
        <v>412058.93186288234</v>
      </c>
      <c r="T10" s="17">
        <f t="shared" si="1"/>
        <v>435020.0684432892</v>
      </c>
      <c r="U10" s="17">
        <f t="shared" si="1"/>
        <v>481988.94204701064</v>
      </c>
      <c r="V10" s="17">
        <f t="shared" si="1"/>
        <v>526415.17547145858</v>
      </c>
      <c r="W10" s="17">
        <f t="shared" si="1"/>
        <v>575975.45573608088</v>
      </c>
      <c r="X10" s="17">
        <f t="shared" si="1"/>
        <v>599395.95888639195</v>
      </c>
      <c r="Y10" s="17">
        <f t="shared" si="1"/>
        <v>648560.57997087506</v>
      </c>
    </row>
    <row r="11" spans="1:25" x14ac:dyDescent="0.3">
      <c r="C11" s="22"/>
      <c r="D11" s="22"/>
      <c r="E11" s="22"/>
      <c r="F11" s="22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spans="1:25" x14ac:dyDescent="0.3">
      <c r="B12" s="13" t="s">
        <v>116</v>
      </c>
      <c r="C12" s="95">
        <v>3551000</v>
      </c>
      <c r="D12" s="95">
        <v>3614796</v>
      </c>
      <c r="E12" s="95">
        <v>3678336.8160000001</v>
      </c>
      <c r="F12" s="95">
        <v>3752956.8020693334</v>
      </c>
      <c r="G12" s="96">
        <f>F12+G21*Assumptions!F42+Assumptions!F43*-Service!G9+Service!G9</f>
        <v>3827278.3081943896</v>
      </c>
      <c r="H12" s="96">
        <f>G12+H21*Assumptions!G42+Assumptions!G43*-Service!H9+Service!H9</f>
        <v>3911066.8693802166</v>
      </c>
      <c r="I12" s="96">
        <f>H12+I21*Assumptions!H42+Assumptions!H43*-Service!I9+Service!I9</f>
        <v>3999354.3092197692</v>
      </c>
      <c r="J12" s="96">
        <f>I12+J21*Assumptions!I42+Assumptions!I43*-Service!J9+Service!J9</f>
        <v>4095349.1996751977</v>
      </c>
      <c r="K12" s="96">
        <f>J12+K21*Assumptions!J42+Assumptions!J43*-Service!K9+Service!K9</f>
        <v>4193907.2765607075</v>
      </c>
      <c r="L12" s="96">
        <f>K12+L21*Assumptions!K42+Assumptions!K43*-Service!L9+Service!L9</f>
        <v>4302260.3501571678</v>
      </c>
      <c r="M12" s="96">
        <f>L12+M21*Assumptions!L42+Assumptions!L43*-Service!M9+Service!M9</f>
        <v>4413655.8087565387</v>
      </c>
      <c r="N12" s="96">
        <f>M12+N21*Assumptions!M42+Assumptions!M43*-Service!N9+Service!N9</f>
        <v>4534795.7443450419</v>
      </c>
      <c r="O12" s="96">
        <f>N12+O21*Assumptions!N42+Assumptions!N43*-Service!O9+Service!O9</f>
        <v>4655451.1201911913</v>
      </c>
      <c r="P12" s="96">
        <f>O12+P21*Assumptions!O42+Assumptions!O43*-Service!P9+Service!P9</f>
        <v>4783951.5480633676</v>
      </c>
      <c r="Q12" s="96">
        <f>P12+Q21*Assumptions!P42+Assumptions!P43*-Service!Q9+Service!Q9</f>
        <v>4911937.9742240552</v>
      </c>
      <c r="R12" s="96">
        <f>Q12+R21*Assumptions!Q42+Assumptions!Q43*-Service!R9+Service!R9</f>
        <v>5055077.5465459088</v>
      </c>
      <c r="S12" s="96">
        <f>R12+S21*Assumptions!R42+Assumptions!R43*-Service!S9+Service!S9</f>
        <v>5197644.5605784748</v>
      </c>
      <c r="T12" s="96">
        <f>S12+T21*Assumptions!S42+Assumptions!S43*-Service!T9+Service!T9</f>
        <v>5349408.5460080355</v>
      </c>
      <c r="U12" s="96">
        <f>T12+U21*Assumptions!T42+Assumptions!T43*-Service!U9+Service!U9</f>
        <v>5500565.4754958786</v>
      </c>
      <c r="V12" s="96">
        <f>U12+V21*Assumptions!U42+Assumptions!U43*-Service!V9+Service!V9</f>
        <v>5659148.6185938958</v>
      </c>
      <c r="W12" s="96">
        <f>V12+W21*Assumptions!V42+Assumptions!V43*-Service!W9+Service!W9</f>
        <v>5817097.4291195199</v>
      </c>
      <c r="X12" s="96">
        <f>W12+X21*Assumptions!W42+Assumptions!W43*-Service!X9+Service!X9</f>
        <v>5985249.5687030414</v>
      </c>
      <c r="Y12" s="96">
        <f>X12+Y21*Assumptions!X42+Assumptions!X43*-Service!Y9+Service!Y9</f>
        <v>6152729.0997282295</v>
      </c>
    </row>
    <row r="13" spans="1:25" x14ac:dyDescent="0.3">
      <c r="C13" s="22"/>
      <c r="D13" s="22"/>
      <c r="E13" s="22"/>
      <c r="F13" s="22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25" x14ac:dyDescent="0.3">
      <c r="B14" s="13" t="s">
        <v>110</v>
      </c>
      <c r="C14" s="95">
        <v>555506.31396630453</v>
      </c>
      <c r="D14" s="95">
        <v>567782.77625570784</v>
      </c>
      <c r="E14" s="95">
        <v>580838.13658069598</v>
      </c>
      <c r="F14" s="95">
        <v>595121.71440072393</v>
      </c>
      <c r="G14" s="96">
        <f>(Assumptions!F48*(Service!G15+Service!G16+Service!G12))/(1-Assumptions!F48)</f>
        <v>609748.86009220371</v>
      </c>
      <c r="H14" s="96">
        <f>(Assumptions!G48*(Service!H15+Service!H16+Service!H12))/(1-Assumptions!G48)</f>
        <v>625368.0272127185</v>
      </c>
      <c r="I14" s="96">
        <f>(Assumptions!H48*(Service!I15+Service!I16+Service!I12))/(1-Assumptions!H48)</f>
        <v>642122.82710695267</v>
      </c>
      <c r="J14" s="96">
        <f>(Assumptions!I48*(Service!J15+Service!J16+Service!J12))/(1-Assumptions!I48)</f>
        <v>662322.53915368707</v>
      </c>
      <c r="K14" s="96">
        <f>(Assumptions!J48*(Service!K15+Service!K16+Service!K12))/(1-Assumptions!J48)</f>
        <v>681257.47992526402</v>
      </c>
      <c r="L14" s="96">
        <f>(Assumptions!K48*(Service!L15+Service!L16+Service!L12))/(1-Assumptions!K48)</f>
        <v>701449.72738285363</v>
      </c>
      <c r="M14" s="96">
        <f>(Assumptions!L48*(Service!M15+Service!M16+Service!M12))/(1-Assumptions!L48)</f>
        <v>722543.39055537235</v>
      </c>
      <c r="N14" s="96">
        <f>(Assumptions!M48*(Service!N15+Service!N16+Service!N12))/(1-Assumptions!M48)</f>
        <v>746447.44095970027</v>
      </c>
      <c r="O14" s="96">
        <f>(Assumptions!N48*(Service!O15+Service!O16+Service!O12))/(1-Assumptions!N48)</f>
        <v>769603.67205872294</v>
      </c>
      <c r="P14" s="96">
        <f>(Assumptions!O48*(Service!P15+Service!P16+Service!P12))/(1-Assumptions!O48)</f>
        <v>793419.42562184727</v>
      </c>
      <c r="Q14" s="96">
        <f>(Assumptions!P48*(Service!Q15+Service!Q16+Service!Q12))/(1-Assumptions!P48)</f>
        <v>817417.56202731945</v>
      </c>
      <c r="R14" s="96">
        <f>(Assumptions!Q48*(Service!R15+Service!R16+Service!R12))/(1-Assumptions!Q48)</f>
        <v>843192.58886240597</v>
      </c>
      <c r="S14" s="96">
        <f>(Assumptions!R48*(Service!S15+Service!S16+Service!S12))/(1-Assumptions!R48)</f>
        <v>869926.07534398814</v>
      </c>
      <c r="T14" s="96">
        <f>(Assumptions!S48*(Service!T15+Service!T16+Service!T12))/(1-Assumptions!S48)</f>
        <v>897545.08866957319</v>
      </c>
      <c r="U14" s="96">
        <f>(Assumptions!T48*(Service!U15+Service!U16+Service!U12))/(1-Assumptions!T48)</f>
        <v>925428.78273469175</v>
      </c>
      <c r="V14" s="96">
        <f>(Assumptions!U48*(Service!V15+Service!V16+Service!V12))/(1-Assumptions!U48)</f>
        <v>953945.408522835</v>
      </c>
      <c r="W14" s="96">
        <f>(Assumptions!V48*(Service!W15+Service!W16+Service!W12))/(1-Assumptions!V48)</f>
        <v>983132.94085633988</v>
      </c>
      <c r="X14" s="96">
        <f>(Assumptions!W48*(Service!X15+Service!X16+Service!X12))/(1-Assumptions!W48)</f>
        <v>1013370.2997619967</v>
      </c>
      <c r="Y14" s="96">
        <f>(Assumptions!X48*(Service!Y15+Service!Y16+Service!Y12))/(1-Assumptions!X48)</f>
        <v>1043960.3230905711</v>
      </c>
    </row>
    <row r="15" spans="1:25" x14ac:dyDescent="0.3">
      <c r="B15" s="13" t="s">
        <v>111</v>
      </c>
      <c r="C15" s="22">
        <v>0</v>
      </c>
      <c r="D15" s="22">
        <v>0</v>
      </c>
      <c r="E15" s="22">
        <v>0</v>
      </c>
      <c r="F15" s="22">
        <v>0</v>
      </c>
      <c r="G15" s="17">
        <f>Assumptions!F49</f>
        <v>0</v>
      </c>
      <c r="H15" s="17">
        <f>Assumptions!G49</f>
        <v>0</v>
      </c>
      <c r="I15" s="17">
        <f>Assumptions!H49</f>
        <v>0</v>
      </c>
      <c r="J15" s="17">
        <f>Assumptions!I49</f>
        <v>0</v>
      </c>
      <c r="K15" s="17">
        <f>Assumptions!J49</f>
        <v>0</v>
      </c>
      <c r="L15" s="17">
        <f>Assumptions!K49</f>
        <v>0</v>
      </c>
      <c r="M15" s="17">
        <f>Assumptions!L49</f>
        <v>0</v>
      </c>
      <c r="N15" s="17">
        <f>Assumptions!M49</f>
        <v>0</v>
      </c>
      <c r="O15" s="17">
        <f>Assumptions!N49</f>
        <v>0</v>
      </c>
      <c r="P15" s="17">
        <f>Assumptions!O49</f>
        <v>0</v>
      </c>
      <c r="Q15" s="17">
        <f>Assumptions!P49</f>
        <v>0</v>
      </c>
      <c r="R15" s="17">
        <f>Assumptions!Q49</f>
        <v>0</v>
      </c>
      <c r="S15" s="17">
        <f>Assumptions!R49</f>
        <v>0</v>
      </c>
      <c r="T15" s="17">
        <f>Assumptions!S49</f>
        <v>0</v>
      </c>
      <c r="U15" s="17">
        <f>Assumptions!T49</f>
        <v>0</v>
      </c>
      <c r="V15" s="17">
        <f>Assumptions!U49</f>
        <v>0</v>
      </c>
      <c r="W15" s="17">
        <f>Assumptions!V49</f>
        <v>0</v>
      </c>
      <c r="X15" s="17">
        <f>Assumptions!W49</f>
        <v>0</v>
      </c>
      <c r="Y15" s="17">
        <f>Assumptions!X49</f>
        <v>0</v>
      </c>
    </row>
    <row r="16" spans="1:25" x14ac:dyDescent="0.3">
      <c r="B16" s="13" t="s">
        <v>112</v>
      </c>
      <c r="C16" s="95">
        <v>166619.17808219179</v>
      </c>
      <c r="D16" s="95">
        <v>184981.0410958904</v>
      </c>
      <c r="E16" s="95">
        <v>208810.71342465753</v>
      </c>
      <c r="F16" s="95">
        <v>229780.82507397261</v>
      </c>
      <c r="G16" s="96">
        <f>(Assumptions!F50/(365/4))*Service!G4</f>
        <v>253348.67857651142</v>
      </c>
      <c r="H16" s="96">
        <f>(Assumptions!G50/(365/4))*Service!H4</f>
        <v>274088.38965874555</v>
      </c>
      <c r="I16" s="96">
        <f>(Assumptions!H50/(365/4))*Service!I4</f>
        <v>297929.22603445244</v>
      </c>
      <c r="J16" s="96">
        <f>(Assumptions!I50/(365/4))*Service!J4</f>
        <v>337117.02389178553</v>
      </c>
      <c r="K16" s="96">
        <f>(Assumptions!J50/(365/4))*Service!K4</f>
        <v>365277.39678529091</v>
      </c>
      <c r="L16" s="96">
        <f>(Assumptions!K50/(365/4))*Service!L4</f>
        <v>392057.05617423693</v>
      </c>
      <c r="M16" s="96">
        <f>(Assumptions!L50/(365/4))*Service!M4</f>
        <v>421826.8818832605</v>
      </c>
      <c r="N16" s="96">
        <f>(Assumptions!M50/(365/4))*Service!N4</f>
        <v>460660.20669295144</v>
      </c>
      <c r="O16" s="96">
        <f>(Assumptions!N50/(365/4))*Service!O4</f>
        <v>494973.45435564662</v>
      </c>
      <c r="P16" s="96">
        <f>(Assumptions!O50/(365/4))*Service!P4</f>
        <v>525855.37725207233</v>
      </c>
      <c r="Q16" s="96">
        <f>(Assumptions!P50/(365/4))*Service!Q4</f>
        <v>558471.86395877483</v>
      </c>
      <c r="R16" s="96">
        <f>(Assumptions!Q50/(365/4))*Service!R4</f>
        <v>587826.70199480711</v>
      </c>
      <c r="S16" s="96">
        <f>(Assumptions!R50/(365/4))*Service!S4</f>
        <v>624168.40518513753</v>
      </c>
      <c r="T16" s="96">
        <f>(Assumptions!S50/(365/4))*Service!T4</f>
        <v>657239.35508833814</v>
      </c>
      <c r="U16" s="96">
        <f>(Assumptions!T50/(365/4))*Service!U4</f>
        <v>692688.68588244251</v>
      </c>
      <c r="V16" s="96">
        <f>(Assumptions!U50/(365/4))*Service!V4</f>
        <v>724947.57690507756</v>
      </c>
      <c r="W16" s="96">
        <f>(Assumptions!V50/(365/4))*Service!W4</f>
        <v>762330.71353444736</v>
      </c>
      <c r="X16" s="96">
        <f>(Assumptions!W50/(365/4))*Service!X4</f>
        <v>796536.28355032066</v>
      </c>
      <c r="Y16" s="96">
        <f>(Assumptions!X50/(365/4))*Service!Y4</f>
        <v>833774.60095482285</v>
      </c>
    </row>
    <row r="17" spans="2:25" x14ac:dyDescent="0.3">
      <c r="B17" s="13" t="s">
        <v>113</v>
      </c>
      <c r="C17" s="95">
        <v>48557.589041095896</v>
      </c>
      <c r="D17" s="95">
        <v>53908.76054794521</v>
      </c>
      <c r="E17" s="95">
        <v>60853.407912328767</v>
      </c>
      <c r="F17" s="95">
        <v>68934.24752219177</v>
      </c>
      <c r="G17" s="96">
        <f>(Assumptions!F51/(365/4))*-Service!G5</f>
        <v>91205.524287544104</v>
      </c>
      <c r="H17" s="96">
        <f>(Assumptions!G51/(365/4))*-Service!H5</f>
        <v>98671.820277148392</v>
      </c>
      <c r="I17" s="96">
        <f>(Assumptions!H51/(365/4))*-Service!I5</f>
        <v>101295.93685171381</v>
      </c>
      <c r="J17" s="96">
        <f>(Assumptions!I51/(365/4))*-Service!J5</f>
        <v>112494.88474469617</v>
      </c>
      <c r="K17" s="96">
        <f>(Assumptions!J51/(365/4))*-Service!K5</f>
        <v>121891.91212246347</v>
      </c>
      <c r="L17" s="96">
        <f>(Assumptions!K51/(365/4))*-Service!L5</f>
        <v>130828.199770247</v>
      </c>
      <c r="M17" s="96">
        <f>(Assumptions!L51/(365/4))*-Service!M5</f>
        <v>140762.29646268015</v>
      </c>
      <c r="N17" s="96">
        <f>(Assumptions!M51/(365/4))*-Service!N5</f>
        <v>145368.25285833009</v>
      </c>
      <c r="O17" s="96">
        <f>(Assumptions!N51/(365/4))*-Service!O5</f>
        <v>156196.31395444711</v>
      </c>
      <c r="P17" s="96">
        <f>(Assumptions!O51/(365/4))*-Service!P5</f>
        <v>165941.56894095245</v>
      </c>
      <c r="Q17" s="96">
        <f>(Assumptions!P51/(365/4))*-Service!Q5</f>
        <v>176234.19161172424</v>
      </c>
      <c r="R17" s="96">
        <f>(Assumptions!Q51/(365/4))*-Service!R5</f>
        <v>178604.06190673771</v>
      </c>
      <c r="S17" s="96">
        <f>(Assumptions!R51/(365/4))*-Service!S5</f>
        <v>189646.05061595328</v>
      </c>
      <c r="T17" s="96">
        <f>(Assumptions!S51/(365/4))*-Service!T5</f>
        <v>199694.26034133937</v>
      </c>
      <c r="U17" s="96">
        <f>(Assumptions!T51/(365/4))*-Service!U5</f>
        <v>210465.11244829008</v>
      </c>
      <c r="V17" s="96">
        <f>(Assumptions!U51/(365/4))*-Service!V5</f>
        <v>220266.58786561521</v>
      </c>
      <c r="W17" s="96">
        <f>(Assumptions!V51/(365/4))*-Service!W5</f>
        <v>231625.00357922973</v>
      </c>
      <c r="X17" s="96">
        <f>(Assumptions!W51/(365/4))*-Service!X5</f>
        <v>242017.95395718701</v>
      </c>
      <c r="Y17" s="96">
        <f>(Assumptions!X51/(365/4))*-Service!Y5</f>
        <v>253332.36809394934</v>
      </c>
    </row>
    <row r="18" spans="2:25" x14ac:dyDescent="0.3">
      <c r="C18" s="22"/>
      <c r="D18" s="22"/>
      <c r="E18" s="22"/>
      <c r="F18" s="22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2:25" x14ac:dyDescent="0.3">
      <c r="B19" s="15" t="s">
        <v>117</v>
      </c>
      <c r="C19" s="22"/>
      <c r="D19" s="22"/>
      <c r="E19" s="22"/>
      <c r="F19" s="22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2:25" x14ac:dyDescent="0.3">
      <c r="B20" s="13" t="s">
        <v>118</v>
      </c>
      <c r="C20" s="22">
        <v>4344</v>
      </c>
      <c r="D20" s="22">
        <v>4822.72</v>
      </c>
      <c r="E20" s="22">
        <v>5443.9935999999998</v>
      </c>
      <c r="F20" s="22">
        <v>5990.7143679999999</v>
      </c>
      <c r="G20" s="17">
        <f>F23</f>
        <v>6605.1619771733331</v>
      </c>
      <c r="H20" s="17">
        <f t="shared" ref="H20:Y20" si="2">G23</f>
        <v>7145.8758732458664</v>
      </c>
      <c r="I20" s="17">
        <f t="shared" si="2"/>
        <v>7767.4405358982231</v>
      </c>
      <c r="J20" s="17">
        <f t="shared" si="2"/>
        <v>8386.5671837855589</v>
      </c>
      <c r="K20" s="17">
        <f t="shared" si="2"/>
        <v>9087.1217166460719</v>
      </c>
      <c r="L20" s="17">
        <f t="shared" si="2"/>
        <v>9753.3278014992138</v>
      </c>
      <c r="M20" s="17">
        <f t="shared" si="2"/>
        <v>10493.921202793761</v>
      </c>
      <c r="N20" s="17">
        <f t="shared" si="2"/>
        <v>11203.423203819781</v>
      </c>
      <c r="O20" s="17">
        <f t="shared" si="2"/>
        <v>12037.933824614272</v>
      </c>
      <c r="P20" s="17">
        <f t="shared" si="2"/>
        <v>12788.993383329316</v>
      </c>
      <c r="Q20" s="17">
        <f t="shared" si="2"/>
        <v>13582.238162643444</v>
      </c>
      <c r="R20" s="17">
        <f t="shared" si="2"/>
        <v>14296.158464026157</v>
      </c>
      <c r="S20" s="17">
        <f t="shared" si="2"/>
        <v>15180.001858513804</v>
      </c>
      <c r="T20" s="17">
        <f t="shared" si="2"/>
        <v>15984.299347497561</v>
      </c>
      <c r="U20" s="17">
        <f t="shared" si="2"/>
        <v>16846.439921847781</v>
      </c>
      <c r="V20" s="17">
        <f t="shared" si="2"/>
        <v>17630.987844506482</v>
      </c>
      <c r="W20" s="17">
        <f t="shared" si="2"/>
        <v>18540.159277723433</v>
      </c>
      <c r="X20" s="17">
        <f t="shared" si="2"/>
        <v>19372.051139116942</v>
      </c>
      <c r="Y20" s="17">
        <f t="shared" si="2"/>
        <v>20277.700516292</v>
      </c>
    </row>
    <row r="21" spans="2:25" x14ac:dyDescent="0.3">
      <c r="B21" s="13" t="s">
        <v>119</v>
      </c>
      <c r="C21" s="22">
        <v>1000</v>
      </c>
      <c r="D21" s="22">
        <v>1200</v>
      </c>
      <c r="E21" s="22">
        <v>1200</v>
      </c>
      <c r="F21" s="22">
        <v>1333.3333333333333</v>
      </c>
      <c r="G21" s="17">
        <f>Assumptions!F38/Assumptions!F32</f>
        <v>1333.3333333333333</v>
      </c>
      <c r="H21" s="17">
        <f>Assumptions!G38/Assumptions!G32</f>
        <v>1479.0697674418604</v>
      </c>
      <c r="I21" s="17">
        <f>Assumptions!H38/Assumptions!H32</f>
        <v>1551.219512195122</v>
      </c>
      <c r="J21" s="17">
        <f>Assumptions!I38/Assumptions!I32</f>
        <v>1623.0769230769231</v>
      </c>
      <c r="K21" s="17">
        <f>Assumptions!J38/Assumptions!J32</f>
        <v>1665.7894736842106</v>
      </c>
      <c r="L21" s="17">
        <f>Assumptions!K38/Assumptions!K32</f>
        <v>1813.4594594594594</v>
      </c>
      <c r="M21" s="17">
        <f>Assumptions!L38/Assumptions!L32</f>
        <v>1863.8333333333333</v>
      </c>
      <c r="N21" s="17">
        <f>Assumptions!M38/Assumptions!M32</f>
        <v>1954.8529411764705</v>
      </c>
      <c r="O21" s="17">
        <f>Assumptions!N38/Assumptions!N32</f>
        <v>1954.8529411764705</v>
      </c>
      <c r="P21" s="17">
        <f>Assumptions!O38/Assumptions!O32</f>
        <v>2072.1441176470589</v>
      </c>
      <c r="Q21" s="17">
        <f>Assumptions!P38/Assumptions!P32</f>
        <v>2072.1441176470589</v>
      </c>
      <c r="R21" s="17">
        <f>Assumptions!Q38/Assumptions!Q32</f>
        <v>2170.4976562500001</v>
      </c>
      <c r="S21" s="17">
        <f>Assumptions!R38/Assumptions!R32</f>
        <v>2170.4976562500001</v>
      </c>
      <c r="T21" s="17">
        <f>Assumptions!S38/Assumptions!S32</f>
        <v>2300.7275156249998</v>
      </c>
      <c r="U21" s="17">
        <f>Assumptions!T38/Assumptions!T32</f>
        <v>2300.7275156249998</v>
      </c>
      <c r="V21" s="17">
        <f>Assumptions!U38/Assumptions!U32</f>
        <v>2407.8054000000002</v>
      </c>
      <c r="W21" s="17">
        <f>Assumptions!V38/Assumptions!V32</f>
        <v>2407.8054000000002</v>
      </c>
      <c r="X21" s="17">
        <f>Assumptions!W38/Assumptions!W32</f>
        <v>2552.2737240000001</v>
      </c>
      <c r="Y21" s="17">
        <f>Assumptions!X38/Assumptions!X32</f>
        <v>2552.2737240000001</v>
      </c>
    </row>
    <row r="22" spans="2:25" ht="15.5" x14ac:dyDescent="0.45">
      <c r="B22" s="13" t="s">
        <v>120</v>
      </c>
      <c r="C22" s="24">
        <v>-521.28</v>
      </c>
      <c r="D22" s="24">
        <v>-578.72640000000001</v>
      </c>
      <c r="E22" s="24">
        <v>-653.27923199999998</v>
      </c>
      <c r="F22" s="24">
        <v>-718.88572416</v>
      </c>
      <c r="G22" s="25">
        <f>-G20*Assumptions!F33</f>
        <v>-792.61943726079994</v>
      </c>
      <c r="H22" s="25">
        <f>-H20*Assumptions!G33</f>
        <v>-857.50510478950389</v>
      </c>
      <c r="I22" s="25">
        <f>-I20*Assumptions!H33</f>
        <v>-932.09286430778673</v>
      </c>
      <c r="J22" s="25">
        <f>-J20*Assumptions!I33</f>
        <v>-922.52239021641151</v>
      </c>
      <c r="K22" s="25">
        <f>-K20*Assumptions!J33</f>
        <v>-999.58338883106796</v>
      </c>
      <c r="L22" s="25">
        <f>-L20*Assumptions!K33</f>
        <v>-1072.8660581649135</v>
      </c>
      <c r="M22" s="25">
        <f>-M20*Assumptions!L33</f>
        <v>-1154.3313323073137</v>
      </c>
      <c r="N22" s="25">
        <f>-N20*Assumptions!M33</f>
        <v>-1120.3423203819782</v>
      </c>
      <c r="O22" s="25">
        <f>-O20*Assumptions!N33</f>
        <v>-1203.7933824614272</v>
      </c>
      <c r="P22" s="25">
        <f>-P20*Assumptions!O33</f>
        <v>-1278.8993383329316</v>
      </c>
      <c r="Q22" s="25">
        <f>-Q20*Assumptions!P33</f>
        <v>-1358.2238162643444</v>
      </c>
      <c r="R22" s="25">
        <f>-R20*Assumptions!Q33</f>
        <v>-1286.6542617623541</v>
      </c>
      <c r="S22" s="25">
        <f>-S20*Assumptions!R33</f>
        <v>-1366.2001672662423</v>
      </c>
      <c r="T22" s="25">
        <f>-T20*Assumptions!S33</f>
        <v>-1438.5869412747804</v>
      </c>
      <c r="U22" s="25">
        <f>-U20*Assumptions!T33</f>
        <v>-1516.1795929663003</v>
      </c>
      <c r="V22" s="25">
        <f>-V20*Assumptions!U33</f>
        <v>-1498.6339667830512</v>
      </c>
      <c r="W22" s="25">
        <f>-W20*Assumptions!V33</f>
        <v>-1575.9135386064918</v>
      </c>
      <c r="X22" s="25">
        <f>-X20*Assumptions!W33</f>
        <v>-1646.6243468249402</v>
      </c>
      <c r="Y22" s="25">
        <f>-Y20*Assumptions!X33</f>
        <v>-1723.60454388482</v>
      </c>
    </row>
    <row r="23" spans="2:25" x14ac:dyDescent="0.3">
      <c r="B23" s="13" t="s">
        <v>121</v>
      </c>
      <c r="C23" s="22">
        <v>4822.72</v>
      </c>
      <c r="D23" s="22">
        <v>5443.9935999999998</v>
      </c>
      <c r="E23" s="22">
        <v>5990.7143679999999</v>
      </c>
      <c r="F23" s="22">
        <v>6605.1619771733331</v>
      </c>
      <c r="G23" s="17">
        <f>SUM(G20:G22)</f>
        <v>7145.8758732458664</v>
      </c>
      <c r="H23" s="17">
        <f t="shared" ref="H23:Y23" si="3">SUM(H20:H22)</f>
        <v>7767.4405358982231</v>
      </c>
      <c r="I23" s="17">
        <f t="shared" si="3"/>
        <v>8386.5671837855589</v>
      </c>
      <c r="J23" s="17">
        <f t="shared" si="3"/>
        <v>9087.1217166460719</v>
      </c>
      <c r="K23" s="17">
        <f t="shared" si="3"/>
        <v>9753.3278014992138</v>
      </c>
      <c r="L23" s="17">
        <f t="shared" si="3"/>
        <v>10493.921202793761</v>
      </c>
      <c r="M23" s="17">
        <f t="shared" si="3"/>
        <v>11203.423203819781</v>
      </c>
      <c r="N23" s="17">
        <f t="shared" si="3"/>
        <v>12037.933824614272</v>
      </c>
      <c r="O23" s="17">
        <f t="shared" si="3"/>
        <v>12788.993383329316</v>
      </c>
      <c r="P23" s="17">
        <f t="shared" si="3"/>
        <v>13582.238162643444</v>
      </c>
      <c r="Q23" s="17">
        <f t="shared" si="3"/>
        <v>14296.158464026157</v>
      </c>
      <c r="R23" s="17">
        <f t="shared" si="3"/>
        <v>15180.001858513804</v>
      </c>
      <c r="S23" s="17">
        <f t="shared" si="3"/>
        <v>15984.299347497561</v>
      </c>
      <c r="T23" s="17">
        <f t="shared" si="3"/>
        <v>16846.439921847781</v>
      </c>
      <c r="U23" s="17">
        <f t="shared" si="3"/>
        <v>17630.987844506482</v>
      </c>
      <c r="V23" s="17">
        <f t="shared" si="3"/>
        <v>18540.159277723433</v>
      </c>
      <c r="W23" s="17">
        <f t="shared" si="3"/>
        <v>19372.051139116942</v>
      </c>
      <c r="X23" s="17">
        <f t="shared" si="3"/>
        <v>20277.700516292</v>
      </c>
      <c r="Y23" s="17">
        <f t="shared" si="3"/>
        <v>21106.369696407179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2:AC20"/>
  <sheetViews>
    <sheetView showGridLines="0" zoomScale="79" zoomScaleNormal="70" workbookViewId="0">
      <pane xSplit="3" ySplit="3" topLeftCell="D4" activePane="bottomRight" state="frozen"/>
      <selection pane="topRight" activeCell="D1" sqref="D1"/>
      <selection pane="bottomLeft" activeCell="A5" sqref="A5"/>
      <selection pane="bottomRight" activeCell="AB21" sqref="AB21"/>
    </sheetView>
  </sheetViews>
  <sheetFormatPr defaultColWidth="9.1796875" defaultRowHeight="14" x14ac:dyDescent="0.3"/>
  <cols>
    <col min="1" max="2" width="1.453125" style="13" customWidth="1"/>
    <col min="3" max="3" width="19.7265625" style="13" bestFit="1" customWidth="1"/>
    <col min="4" max="7" width="12.26953125" style="13" bestFit="1" customWidth="1"/>
    <col min="8" max="8" width="15.54296875" style="13" bestFit="1" customWidth="1"/>
    <col min="9" max="15" width="12.26953125" style="13" bestFit="1" customWidth="1"/>
    <col min="16" max="16" width="12.81640625" style="13" bestFit="1" customWidth="1"/>
    <col min="17" max="18" width="12.26953125" style="13" bestFit="1" customWidth="1"/>
    <col min="19" max="19" width="12.81640625" style="13" bestFit="1" customWidth="1"/>
    <col min="20" max="26" width="14" style="13" bestFit="1" customWidth="1"/>
    <col min="27" max="16384" width="9.1796875" style="13"/>
  </cols>
  <sheetData>
    <row r="2" spans="2:29" x14ac:dyDescent="0.3">
      <c r="D2" s="19" t="s">
        <v>96</v>
      </c>
      <c r="E2" s="19" t="s">
        <v>96</v>
      </c>
      <c r="F2" s="19" t="s">
        <v>96</v>
      </c>
      <c r="G2" s="19" t="s">
        <v>96</v>
      </c>
      <c r="H2" s="83" t="s">
        <v>97</v>
      </c>
      <c r="I2" s="83" t="s">
        <v>97</v>
      </c>
      <c r="J2" s="83" t="s">
        <v>97</v>
      </c>
      <c r="K2" s="83" t="s">
        <v>97</v>
      </c>
      <c r="L2" s="83" t="s">
        <v>97</v>
      </c>
      <c r="M2" s="83" t="s">
        <v>97</v>
      </c>
      <c r="N2" s="83" t="s">
        <v>97</v>
      </c>
      <c r="O2" s="83" t="s">
        <v>97</v>
      </c>
      <c r="P2" s="83" t="s">
        <v>97</v>
      </c>
      <c r="Q2" s="83" t="s">
        <v>97</v>
      </c>
      <c r="R2" s="83" t="s">
        <v>97</v>
      </c>
      <c r="S2" s="83" t="s">
        <v>97</v>
      </c>
      <c r="T2" s="83" t="s">
        <v>97</v>
      </c>
      <c r="U2" s="83" t="s">
        <v>97</v>
      </c>
      <c r="V2" s="83" t="s">
        <v>97</v>
      </c>
      <c r="W2" s="83" t="s">
        <v>97</v>
      </c>
      <c r="X2" s="83" t="s">
        <v>97</v>
      </c>
      <c r="Y2" s="83" t="s">
        <v>97</v>
      </c>
      <c r="Z2" s="83" t="s">
        <v>97</v>
      </c>
    </row>
    <row r="3" spans="2:29" x14ac:dyDescent="0.3">
      <c r="B3" s="20" t="s">
        <v>122</v>
      </c>
      <c r="C3" s="21"/>
      <c r="D3" s="19" t="s">
        <v>98</v>
      </c>
      <c r="E3" s="19" t="s">
        <v>99</v>
      </c>
      <c r="F3" s="19" t="s">
        <v>100</v>
      </c>
      <c r="G3" s="19" t="s">
        <v>101</v>
      </c>
      <c r="H3" s="83" t="s">
        <v>2</v>
      </c>
      <c r="I3" s="83" t="s">
        <v>3</v>
      </c>
      <c r="J3" s="83" t="s">
        <v>4</v>
      </c>
      <c r="K3" s="83" t="s">
        <v>5</v>
      </c>
      <c r="L3" s="83" t="s">
        <v>6</v>
      </c>
      <c r="M3" s="83" t="s">
        <v>7</v>
      </c>
      <c r="N3" s="83" t="s">
        <v>8</v>
      </c>
      <c r="O3" s="83" t="s">
        <v>9</v>
      </c>
      <c r="P3" s="83" t="s">
        <v>10</v>
      </c>
      <c r="Q3" s="83" t="s">
        <v>11</v>
      </c>
      <c r="R3" s="83" t="s">
        <v>12</v>
      </c>
      <c r="S3" s="83" t="s">
        <v>13</v>
      </c>
      <c r="T3" s="83" t="s">
        <v>14</v>
      </c>
      <c r="U3" s="83" t="s">
        <v>15</v>
      </c>
      <c r="V3" s="83" t="s">
        <v>16</v>
      </c>
      <c r="W3" s="83" t="s">
        <v>17</v>
      </c>
      <c r="X3" s="83" t="s">
        <v>18</v>
      </c>
      <c r="Y3" s="83" t="s">
        <v>19</v>
      </c>
      <c r="Z3" s="83" t="s">
        <v>20</v>
      </c>
    </row>
    <row r="4" spans="2:29" x14ac:dyDescent="0.3">
      <c r="B4" s="13" t="s">
        <v>123</v>
      </c>
      <c r="D4" s="22">
        <v>1128000</v>
      </c>
      <c r="E4" s="22">
        <v>1120340</v>
      </c>
      <c r="F4" s="22">
        <v>1336749.2</v>
      </c>
      <c r="G4" s="22">
        <v>1307589.2960000001</v>
      </c>
      <c r="H4" s="92">
        <f>Manufacturing!G4+Service!G4</f>
        <v>1515945.2471466665</v>
      </c>
      <c r="I4" s="92">
        <f>Manufacturing!H4+Service!H4</f>
        <v>1503884.4841557331</v>
      </c>
      <c r="J4" s="92">
        <f>Manufacturing!I4+Service!I4</f>
        <v>1738742.5669872779</v>
      </c>
      <c r="K4" s="92">
        <f>Manufacturing!J4+Service!J4</f>
        <v>1768395.3010759081</v>
      </c>
      <c r="L4" s="92">
        <f>Manufacturing!K4+Service!K4</f>
        <v>2010719.4448806355</v>
      </c>
      <c r="M4" s="92">
        <f>Manufacturing!L4+Service!L4</f>
        <v>1997031.6419963972</v>
      </c>
      <c r="N4" s="92">
        <f>Manufacturing!M4+Service!M4</f>
        <v>2271252.7400659826</v>
      </c>
      <c r="O4" s="92">
        <f>Manufacturing!N4+Service!N4</f>
        <v>2251384.3093118509</v>
      </c>
      <c r="P4" s="92">
        <f>Manufacturing!O4+Service!O4</f>
        <v>2523623.3474983126</v>
      </c>
      <c r="Q4" s="92">
        <f>Manufacturing!P4+Service!P4</f>
        <v>2505005.3833661284</v>
      </c>
      <c r="R4" s="92">
        <f>Manufacturing!Q4+Service!Q4</f>
        <v>2797258.3919192217</v>
      </c>
      <c r="S4" s="92">
        <f>Manufacturing!R4+Service!R4</f>
        <v>2741500.9269795055</v>
      </c>
      <c r="T4" s="92">
        <f>Manufacturing!S4+Service!S4</f>
        <v>3027255.2732208497</v>
      </c>
      <c r="U4" s="92">
        <f>Manufacturing!T4+Service!T4</f>
        <v>2996887.2068846733</v>
      </c>
      <c r="V4" s="92">
        <f>Manufacturing!U4+Service!U4</f>
        <v>3303383.3593401029</v>
      </c>
      <c r="W4" s="92">
        <f>Manufacturing!V4+Service!V4</f>
        <v>3221400.6916758693</v>
      </c>
      <c r="X4" s="92">
        <f>Manufacturing!W4+Service!W4</f>
        <v>3507310.41812034</v>
      </c>
      <c r="Y4" s="92">
        <f>Manufacturing!X4+Service!X4</f>
        <v>3467945.7688480704</v>
      </c>
      <c r="Z4" s="92">
        <f>Manufacturing!Y4+Service!Y4</f>
        <v>3773631.8830937529</v>
      </c>
    </row>
    <row r="5" spans="2:29" x14ac:dyDescent="0.3">
      <c r="C5" s="13" t="s">
        <v>124</v>
      </c>
      <c r="D5" s="22">
        <v>-430722</v>
      </c>
      <c r="E5" s="22">
        <v>-447659.96</v>
      </c>
      <c r="F5" s="22">
        <v>-522004.06479999999</v>
      </c>
      <c r="G5" s="22">
        <v>-548607.50575999997</v>
      </c>
      <c r="H5" s="92">
        <f>Manufacturing!G5+Service!G5</f>
        <v>-622050.73840213334</v>
      </c>
      <c r="I5" s="92">
        <f>Manufacturing!H5+Service!H5</f>
        <v>-641475.01112721069</v>
      </c>
      <c r="J5" s="92">
        <f>Manufacturing!I5+Service!I5</f>
        <v>-721341.46251287556</v>
      </c>
      <c r="K5" s="92">
        <f>Manufacturing!J5+Service!J5</f>
        <v>-750746.83723256027</v>
      </c>
      <c r="L5" s="92">
        <f>Manufacturing!K5+Service!K5</f>
        <v>-834210.96359851712</v>
      </c>
      <c r="M5" s="92">
        <f>Manufacturing!L5+Service!L5</f>
        <v>-860031.56170794345</v>
      </c>
      <c r="N5" s="92">
        <f>Manufacturing!M5+Service!M5</f>
        <v>-952224.70160115079</v>
      </c>
      <c r="O5" s="92">
        <f>Manufacturing!N5+Service!N5</f>
        <v>-992145.14108266379</v>
      </c>
      <c r="P5" s="92">
        <f>Manufacturing!O5+Service!O5</f>
        <v>-1088776.1691214561</v>
      </c>
      <c r="Q5" s="92">
        <f>Manufacturing!P5+Service!P5</f>
        <v>-1118425.1561663693</v>
      </c>
      <c r="R5" s="92">
        <f>Manufacturing!Q5+Service!Q5</f>
        <v>-1217556.1834731149</v>
      </c>
      <c r="S5" s="92">
        <f>Manufacturing!R5+Service!R5</f>
        <v>-1258988.536065988</v>
      </c>
      <c r="T5" s="92">
        <f>Manufacturing!S5+Service!S5</f>
        <v>-1361107.0766770493</v>
      </c>
      <c r="U5" s="92">
        <f>Manufacturing!T5+Service!T5</f>
        <v>-1393380.8397298146</v>
      </c>
      <c r="V5" s="92">
        <f>Manufacturing!U5+Service!U5</f>
        <v>-1498789.5196541813</v>
      </c>
      <c r="W5" s="92">
        <f>Manufacturing!V5+Service!V5</f>
        <v>-1519334.7886944925</v>
      </c>
      <c r="X5" s="92">
        <f>Manufacturing!W5+Service!W5</f>
        <v>-1622701.8485998809</v>
      </c>
      <c r="Y5" s="92">
        <f>Manufacturing!X5+Service!X5</f>
        <v>-1654421.4576792878</v>
      </c>
      <c r="Z5" s="92">
        <f>Manufacturing!Y5+Service!Y5</f>
        <v>-1761749.9256878793</v>
      </c>
    </row>
    <row r="6" spans="2:29" x14ac:dyDescent="0.3">
      <c r="B6" s="13" t="s">
        <v>125</v>
      </c>
      <c r="D6" s="95">
        <v>697278</v>
      </c>
      <c r="E6" s="95">
        <v>672680.04</v>
      </c>
      <c r="F6" s="95">
        <v>814745.1351999999</v>
      </c>
      <c r="G6" s="95">
        <v>758981.79024000012</v>
      </c>
      <c r="H6" s="93">
        <f>SUM(H4:H5)</f>
        <v>893894.50874453317</v>
      </c>
      <c r="I6" s="93">
        <f t="shared" ref="I6:Z6" si="0">SUM(I4:I5)</f>
        <v>862409.47302852245</v>
      </c>
      <c r="J6" s="93">
        <f t="shared" si="0"/>
        <v>1017401.1044744024</v>
      </c>
      <c r="K6" s="93">
        <f t="shared" si="0"/>
        <v>1017648.4638433479</v>
      </c>
      <c r="L6" s="93">
        <f t="shared" si="0"/>
        <v>1176508.4812821182</v>
      </c>
      <c r="M6" s="93">
        <f t="shared" si="0"/>
        <v>1137000.0802884537</v>
      </c>
      <c r="N6" s="93">
        <f t="shared" si="0"/>
        <v>1319028.0384648317</v>
      </c>
      <c r="O6" s="93">
        <f t="shared" si="0"/>
        <v>1259239.1682291871</v>
      </c>
      <c r="P6" s="93">
        <f t="shared" si="0"/>
        <v>1434847.1783768565</v>
      </c>
      <c r="Q6" s="93">
        <f t="shared" si="0"/>
        <v>1386580.2271997591</v>
      </c>
      <c r="R6" s="93">
        <f t="shared" si="0"/>
        <v>1579702.2084461069</v>
      </c>
      <c r="S6" s="93">
        <f t="shared" si="0"/>
        <v>1482512.3909135174</v>
      </c>
      <c r="T6" s="93">
        <f t="shared" si="0"/>
        <v>1666148.1965438004</v>
      </c>
      <c r="U6" s="93">
        <f t="shared" si="0"/>
        <v>1603506.3671548588</v>
      </c>
      <c r="V6" s="93">
        <f t="shared" si="0"/>
        <v>1804593.8396859216</v>
      </c>
      <c r="W6" s="93">
        <f t="shared" si="0"/>
        <v>1702065.9029813767</v>
      </c>
      <c r="X6" s="93">
        <f t="shared" si="0"/>
        <v>1884608.569520459</v>
      </c>
      <c r="Y6" s="93">
        <f t="shared" si="0"/>
        <v>1813524.3111687826</v>
      </c>
      <c r="Z6" s="93">
        <f t="shared" si="0"/>
        <v>2011881.9574058736</v>
      </c>
    </row>
    <row r="7" spans="2:29" ht="7.5" customHeight="1" x14ac:dyDescent="0.3">
      <c r="D7" s="22"/>
      <c r="E7" s="22"/>
      <c r="F7" s="22"/>
      <c r="G7" s="22"/>
    </row>
    <row r="8" spans="2:29" x14ac:dyDescent="0.3">
      <c r="B8" s="13" t="s">
        <v>126</v>
      </c>
      <c r="D8" s="22"/>
      <c r="E8" s="22"/>
      <c r="F8" s="22"/>
      <c r="G8" s="22"/>
    </row>
    <row r="9" spans="2:29" x14ac:dyDescent="0.3">
      <c r="C9" s="13" t="s">
        <v>26</v>
      </c>
      <c r="D9" s="22">
        <v>-394625</v>
      </c>
      <c r="E9" s="22">
        <v>-386187.5</v>
      </c>
      <c r="F9" s="22">
        <v>-403531.25</v>
      </c>
      <c r="G9" s="22">
        <v>-391843.75</v>
      </c>
      <c r="H9" s="92">
        <f>Manufacturing!G8+Service!G8</f>
        <v>-408287.5</v>
      </c>
      <c r="I9" s="92">
        <f>Manufacturing!H8+Service!H8</f>
        <v>-418331.25</v>
      </c>
      <c r="J9" s="92">
        <f>Manufacturing!I8+Service!I8</f>
        <v>-437976.5625</v>
      </c>
      <c r="K9" s="92">
        <f>Manufacturing!J8+Service!J8</f>
        <v>-424419.375</v>
      </c>
      <c r="L9" s="92">
        <f>Manufacturing!K8+Service!K8</f>
        <v>-443238.3125</v>
      </c>
      <c r="M9" s="92">
        <f>Manufacturing!L8+Service!L8</f>
        <v>-449608.21250000002</v>
      </c>
      <c r="N9" s="92">
        <f>Manufacturing!M8+Service!M8</f>
        <v>-471758.6328125</v>
      </c>
      <c r="O9" s="92">
        <f>Manufacturing!N8+Service!N8</f>
        <v>-453590.7</v>
      </c>
      <c r="P9" s="92">
        <f>Manufacturing!O8+Service!O8</f>
        <v>-473642.52687499998</v>
      </c>
      <c r="Q9" s="92">
        <f>Manufacturing!P8+Service!P8</f>
        <v>-478674.53375</v>
      </c>
      <c r="R9" s="92">
        <f>Manufacturing!Q8+Service!Q8</f>
        <v>-501919.30976562505</v>
      </c>
      <c r="S9" s="92">
        <f>Manufacturing!R8+Service!R8</f>
        <v>-483506.58660000004</v>
      </c>
      <c r="T9" s="92">
        <f>Manufacturing!S8+Service!S8</f>
        <v>-504421.50302249996</v>
      </c>
      <c r="U9" s="92">
        <f>Manufacturing!T8+Service!T8</f>
        <v>-507990.28928999999</v>
      </c>
      <c r="V9" s="92">
        <f>Manufacturing!U8+Service!U8</f>
        <v>-531861.45372656244</v>
      </c>
      <c r="W9" s="92">
        <f>Manufacturing!V8+Service!V8</f>
        <v>-506526.85006400006</v>
      </c>
      <c r="X9" s="92">
        <f>Manufacturing!W8+Service!W8</f>
        <v>-527036.94436317496</v>
      </c>
      <c r="Y9" s="92">
        <f>Manufacturing!X8+Service!X8</f>
        <v>-529852.42312579998</v>
      </c>
      <c r="Z9" s="92">
        <f>Manufacturing!Y8+Service!Y8</f>
        <v>-552893.56033882813</v>
      </c>
    </row>
    <row r="10" spans="2:29" x14ac:dyDescent="0.3">
      <c r="C10" s="13" t="s">
        <v>115</v>
      </c>
      <c r="D10" s="22">
        <v>-142280</v>
      </c>
      <c r="E10" s="22">
        <v>-143211.86666666667</v>
      </c>
      <c r="F10" s="22">
        <v>-144575.23800000001</v>
      </c>
      <c r="G10" s="22">
        <v>-145775.44485666667</v>
      </c>
      <c r="H10" s="92">
        <f>Manufacturing!G9+Manufacturing!G10+Service!G9</f>
        <v>-147872.20644593667</v>
      </c>
      <c r="I10" s="92">
        <f>Manufacturing!H9+Manufacturing!H10+Service!H9</f>
        <v>-149304.34577094522</v>
      </c>
      <c r="J10" s="92">
        <f>Manufacturing!I9+Manufacturing!I10+Service!I9</f>
        <v>-150766.89304174809</v>
      </c>
      <c r="K10" s="92">
        <f>Manufacturing!J9+Manufacturing!J10+Service!J9</f>
        <v>-155966.88072397743</v>
      </c>
      <c r="L10" s="92">
        <f>Manufacturing!K9+Manufacturing!K10+Service!K9</f>
        <v>-157560.81905753395</v>
      </c>
      <c r="M10" s="92">
        <f>Manufacturing!L9+Manufacturing!L10+Service!L9</f>
        <v>-164217.42970133643</v>
      </c>
      <c r="N10" s="92">
        <f>Manufacturing!M9+Manufacturing!M10+Service!M9</f>
        <v>-166080.94956064469</v>
      </c>
      <c r="O10" s="92">
        <f>Manufacturing!N9+Manufacturing!N10+Service!N9</f>
        <v>-171655.9410764529</v>
      </c>
      <c r="P10" s="92">
        <f>Manufacturing!O9+Manufacturing!O10+Service!O9</f>
        <v>-173668.67425001002</v>
      </c>
      <c r="Q10" s="92">
        <f>Manufacturing!P9+Manufacturing!P10+Service!P9</f>
        <v>-180686.06852255753</v>
      </c>
      <c r="R10" s="92">
        <f>Manufacturing!Q9+Manufacturing!Q10+Service!Q9</f>
        <v>-182874.21379917872</v>
      </c>
      <c r="S10" s="92">
        <f>Manufacturing!R9+Manufacturing!R10+Service!R9</f>
        <v>-186885.44425639889</v>
      </c>
      <c r="T10" s="92">
        <f>Manufacturing!S9+Manufacturing!S10+Service!S9</f>
        <v>-189328.93506915218</v>
      </c>
      <c r="U10" s="92">
        <f>Manufacturing!T9+Manufacturing!T10+Service!T9</f>
        <v>-198442.31690496532</v>
      </c>
      <c r="V10" s="92">
        <f>Manufacturing!U9+Manufacturing!U10+Service!U9</f>
        <v>-201087.13338095433</v>
      </c>
      <c r="W10" s="92">
        <f>Manufacturing!V9+Manufacturing!V10+Service!V9</f>
        <v>-205553.47495125007</v>
      </c>
      <c r="X10" s="92">
        <f>Manufacturing!W9+Manufacturing!W10+Service!W9</f>
        <v>-208297.82868943043</v>
      </c>
      <c r="Y10" s="92">
        <f>Manufacturing!X9+Manufacturing!X10+Service!X9</f>
        <v>-219377.78492882859</v>
      </c>
      <c r="Z10" s="92">
        <f>Manufacturing!Y9+Manufacturing!Y10+Service!Y9</f>
        <v>-222342.90678170702</v>
      </c>
      <c r="AA10" s="93"/>
      <c r="AB10" s="93"/>
      <c r="AC10" s="93"/>
    </row>
    <row r="11" spans="2:29" x14ac:dyDescent="0.3">
      <c r="B11" s="13" t="s">
        <v>127</v>
      </c>
      <c r="D11" s="22">
        <v>-536905</v>
      </c>
      <c r="E11" s="22">
        <v>-529399.3666666667</v>
      </c>
      <c r="F11" s="22">
        <v>-548106.48800000001</v>
      </c>
      <c r="G11" s="22">
        <v>-537619.19485666673</v>
      </c>
      <c r="H11" s="93">
        <f>SUM(H9:H10)</f>
        <v>-556159.7064459367</v>
      </c>
      <c r="I11" s="93">
        <f t="shared" ref="I11:Z11" si="1">SUM(I9:I10)</f>
        <v>-567635.59577094519</v>
      </c>
      <c r="J11" s="93">
        <f t="shared" si="1"/>
        <v>-588743.45554174809</v>
      </c>
      <c r="K11" s="93">
        <f t="shared" si="1"/>
        <v>-580386.25572397746</v>
      </c>
      <c r="L11" s="93">
        <f t="shared" si="1"/>
        <v>-600799.13155753398</v>
      </c>
      <c r="M11" s="93">
        <f t="shared" si="1"/>
        <v>-613825.64220133645</v>
      </c>
      <c r="N11" s="93">
        <f t="shared" si="1"/>
        <v>-637839.58237314469</v>
      </c>
      <c r="O11" s="93">
        <f t="shared" si="1"/>
        <v>-625246.64107645291</v>
      </c>
      <c r="P11" s="93">
        <f t="shared" si="1"/>
        <v>-647311.20112501003</v>
      </c>
      <c r="Q11" s="93">
        <f t="shared" si="1"/>
        <v>-659360.60227255756</v>
      </c>
      <c r="R11" s="93">
        <f t="shared" si="1"/>
        <v>-684793.52356480376</v>
      </c>
      <c r="S11" s="93">
        <f t="shared" si="1"/>
        <v>-670392.03085639887</v>
      </c>
      <c r="T11" s="93">
        <f t="shared" si="1"/>
        <v>-693750.43809165212</v>
      </c>
      <c r="U11" s="93">
        <f t="shared" si="1"/>
        <v>-706432.60619496531</v>
      </c>
      <c r="V11" s="93">
        <f t="shared" si="1"/>
        <v>-732948.58710751683</v>
      </c>
      <c r="W11" s="93">
        <f t="shared" si="1"/>
        <v>-712080.32501525013</v>
      </c>
      <c r="X11" s="93">
        <f t="shared" si="1"/>
        <v>-735334.77305260533</v>
      </c>
      <c r="Y11" s="93">
        <f t="shared" si="1"/>
        <v>-749230.20805462857</v>
      </c>
      <c r="Z11" s="93">
        <f t="shared" si="1"/>
        <v>-775236.46712053521</v>
      </c>
    </row>
    <row r="12" spans="2:29" x14ac:dyDescent="0.3">
      <c r="D12" s="22"/>
      <c r="E12" s="22"/>
      <c r="F12" s="22"/>
      <c r="G12" s="22"/>
    </row>
    <row r="13" spans="2:29" x14ac:dyDescent="0.3">
      <c r="B13" s="13" t="s">
        <v>128</v>
      </c>
      <c r="D13" s="22">
        <v>-38250</v>
      </c>
      <c r="E13" s="22">
        <v>-53880.973501613931</v>
      </c>
      <c r="F13" s="22">
        <v>-53929.956063146448</v>
      </c>
      <c r="G13" s="22">
        <v>-54405.595522069969</v>
      </c>
      <c r="H13" s="92">
        <f>-((Assumptions!F54/4)*'Consolidated BS'!F17)-(Assumptions!F55/4)*'Consolidated BS'!F21</f>
        <v>-54040.61938619244</v>
      </c>
      <c r="I13" s="92">
        <f>-((Assumptions!G54/4)*'Consolidated BS'!G17)-(Assumptions!G55/4)*'Consolidated BS'!G21</f>
        <v>-54455.995046534445</v>
      </c>
      <c r="J13" s="92">
        <f>-((Assumptions!H54/4)*'Consolidated BS'!H17)-(Assumptions!H55/4)*'Consolidated BS'!H21</f>
        <v>-53208.32450084103</v>
      </c>
      <c r="K13" s="92">
        <f>-((Assumptions!I54/4)*'Consolidated BS'!I17)-(Assumptions!I55/4)*'Consolidated BS'!I21</f>
        <v>-54596.345235038105</v>
      </c>
      <c r="L13" s="92">
        <f>-((Assumptions!J54/4)*'Consolidated BS'!J17)-(Assumptions!J55/4)*'Consolidated BS'!J21</f>
        <v>-53125.000000000007</v>
      </c>
      <c r="M13" s="92">
        <f>-((Assumptions!K54/4)*'Consolidated BS'!K17)-(Assumptions!K55/4)*'Consolidated BS'!K21</f>
        <v>-55649.22517083319</v>
      </c>
      <c r="N13" s="92">
        <f>-((Assumptions!L54/4)*'Consolidated BS'!L17)-(Assumptions!L55/4)*'Consolidated BS'!L21</f>
        <v>-53125.000000000007</v>
      </c>
      <c r="O13" s="92">
        <f>-((Assumptions!M54/4)*'Consolidated BS'!M17)-(Assumptions!M55/4)*'Consolidated BS'!M21</f>
        <v>-53125.000000000007</v>
      </c>
      <c r="P13" s="92">
        <f>-((Assumptions!N54/4)*'Consolidated BS'!N17)-(Assumptions!N55/4)*'Consolidated BS'!N21</f>
        <v>-53125.000000000007</v>
      </c>
      <c r="Q13" s="92">
        <f>-((Assumptions!O54/4)*'Consolidated BS'!O17)-(Assumptions!O55/4)*'Consolidated BS'!O21</f>
        <v>-54360.237182833742</v>
      </c>
      <c r="R13" s="92">
        <f>-((Assumptions!P54/4)*'Consolidated BS'!P17)-(Assumptions!P55/4)*'Consolidated BS'!P21</f>
        <v>-53125.000000000007</v>
      </c>
      <c r="S13" s="92">
        <f>-((Assumptions!Q54/4)*'Consolidated BS'!Q17)-(Assumptions!Q55/4)*'Consolidated BS'!Q21</f>
        <v>-53125.000000000007</v>
      </c>
      <c r="T13" s="92">
        <f>-((Assumptions!R54/4)*'Consolidated BS'!R17)-(Assumptions!R55/4)*'Consolidated BS'!R21</f>
        <v>-97500</v>
      </c>
      <c r="U13" s="92">
        <f>-((Assumptions!S54/4)*'Consolidated BS'!S17)-(Assumptions!S55/4)*'Consolidated BS'!S21</f>
        <v>-98739.120518688185</v>
      </c>
      <c r="V13" s="92">
        <f>-((Assumptions!T54/4)*'Consolidated BS'!T17)-(Assumptions!T55/4)*'Consolidated BS'!T21</f>
        <v>-97500</v>
      </c>
      <c r="W13" s="92">
        <f>-((Assumptions!U54/4)*'Consolidated BS'!U17)-(Assumptions!U55/4)*'Consolidated BS'!U21</f>
        <v>-97500</v>
      </c>
      <c r="X13" s="92">
        <f>-((Assumptions!V54/4)*'Consolidated BS'!V17)-(Assumptions!V55/4)*'Consolidated BS'!V21</f>
        <v>-97500</v>
      </c>
      <c r="Y13" s="92">
        <f>-((Assumptions!W54/4)*'Consolidated BS'!W17)-(Assumptions!W55/4)*'Consolidated BS'!W21</f>
        <v>-100546.18582037746</v>
      </c>
      <c r="Z13" s="92">
        <f>-((Assumptions!X54/4)*'Consolidated BS'!X17)-(Assumptions!X55/4)*'Consolidated BS'!X21</f>
        <v>-98662.84760051794</v>
      </c>
      <c r="AA13" s="93"/>
    </row>
    <row r="14" spans="2:29" x14ac:dyDescent="0.3">
      <c r="D14" s="22"/>
      <c r="E14" s="22"/>
      <c r="F14" s="22"/>
      <c r="G14" s="22"/>
    </row>
    <row r="15" spans="2:29" x14ac:dyDescent="0.3">
      <c r="B15" s="13" t="s">
        <v>129</v>
      </c>
      <c r="D15" s="22">
        <v>122123</v>
      </c>
      <c r="E15" s="22">
        <v>89399.699831719408</v>
      </c>
      <c r="F15" s="22">
        <v>212708.69113685345</v>
      </c>
      <c r="G15" s="22">
        <v>166956.99986126344</v>
      </c>
      <c r="H15" s="93">
        <f>H6+H11+H13</f>
        <v>283694.18291240407</v>
      </c>
      <c r="I15" s="93">
        <f t="shared" ref="I15:Z15" si="2">I6+I11+I13</f>
        <v>240317.8822110428</v>
      </c>
      <c r="J15" s="93">
        <f t="shared" si="2"/>
        <v>375449.32443181326</v>
      </c>
      <c r="K15" s="93">
        <f t="shared" si="2"/>
        <v>382665.86288433231</v>
      </c>
      <c r="L15" s="93">
        <f t="shared" si="2"/>
        <v>522584.34972458426</v>
      </c>
      <c r="M15" s="93">
        <f t="shared" si="2"/>
        <v>467525.2129162841</v>
      </c>
      <c r="N15" s="93">
        <f t="shared" si="2"/>
        <v>628063.45609168697</v>
      </c>
      <c r="O15" s="93">
        <f t="shared" si="2"/>
        <v>580867.52715273423</v>
      </c>
      <c r="P15" s="93">
        <f t="shared" si="2"/>
        <v>734410.97725184646</v>
      </c>
      <c r="Q15" s="93">
        <f t="shared" si="2"/>
        <v>672859.38774436782</v>
      </c>
      <c r="R15" s="93">
        <f t="shared" si="2"/>
        <v>841783.68488130311</v>
      </c>
      <c r="S15" s="93">
        <f t="shared" si="2"/>
        <v>758995.36005711858</v>
      </c>
      <c r="T15" s="93">
        <f t="shared" si="2"/>
        <v>874897.75845214829</v>
      </c>
      <c r="U15" s="93">
        <f t="shared" si="2"/>
        <v>798334.64044120524</v>
      </c>
      <c r="V15" s="93">
        <f t="shared" si="2"/>
        <v>974145.25257840473</v>
      </c>
      <c r="W15" s="93">
        <f t="shared" si="2"/>
        <v>892485.57796612661</v>
      </c>
      <c r="X15" s="93">
        <f t="shared" si="2"/>
        <v>1051773.7964678537</v>
      </c>
      <c r="Y15" s="93">
        <f t="shared" si="2"/>
        <v>963747.91729377676</v>
      </c>
      <c r="Z15" s="93">
        <f t="shared" si="2"/>
        <v>1137982.6426848203</v>
      </c>
    </row>
    <row r="16" spans="2:29" x14ac:dyDescent="0.3">
      <c r="D16" s="22"/>
      <c r="E16" s="22"/>
      <c r="F16" s="22"/>
      <c r="G16" s="22"/>
    </row>
    <row r="17" spans="2:26" x14ac:dyDescent="0.3">
      <c r="B17" s="13" t="s">
        <v>130</v>
      </c>
      <c r="D17" s="22">
        <v>-39079.360000000001</v>
      </c>
      <c r="E17" s="22">
        <v>-28607.903946150211</v>
      </c>
      <c r="F17" s="22">
        <v>-68066.781163793101</v>
      </c>
      <c r="G17" s="22">
        <v>-53426.239955604302</v>
      </c>
      <c r="H17" s="93">
        <f>-H15*Assumptions!F62</f>
        <v>-90782.138531969307</v>
      </c>
      <c r="I17" s="93">
        <f>-I15*Assumptions!G62</f>
        <v>-76901.722307533695</v>
      </c>
      <c r="J17" s="93">
        <f>-J15*Assumptions!H62</f>
        <v>-120143.78381818025</v>
      </c>
      <c r="K17" s="93">
        <f>-K15*Assumptions!I62</f>
        <v>-122453.07612298634</v>
      </c>
      <c r="L17" s="93">
        <f>-L15*Assumptions!J62</f>
        <v>-167226.99191186696</v>
      </c>
      <c r="M17" s="93">
        <f>-M15*Assumptions!K62</f>
        <v>-149608.06813321091</v>
      </c>
      <c r="N17" s="93">
        <f>-N15*Assumptions!L62</f>
        <v>-200980.30594933985</v>
      </c>
      <c r="O17" s="93">
        <f>-O15*Assumptions!M62</f>
        <v>-185877.60868887496</v>
      </c>
      <c r="P17" s="93">
        <f>-P15*Assumptions!N62</f>
        <v>-235011.51272059086</v>
      </c>
      <c r="Q17" s="93">
        <f>-Q15*Assumptions!O62</f>
        <v>-215315.0040781977</v>
      </c>
      <c r="R17" s="93">
        <f>-R15*Assumptions!P62</f>
        <v>-269370.77916201699</v>
      </c>
      <c r="S17" s="93">
        <f>-S15*Assumptions!Q62</f>
        <v>-242878.51521827796</v>
      </c>
      <c r="T17" s="93">
        <f>-T15*Assumptions!R62</f>
        <v>-279967.28270468744</v>
      </c>
      <c r="U17" s="93">
        <f>-U15*Assumptions!S62</f>
        <v>-255467.08494118569</v>
      </c>
      <c r="V17" s="93">
        <f>-V15*Assumptions!T62</f>
        <v>-311726.4808250895</v>
      </c>
      <c r="W17" s="93">
        <f>-W15*Assumptions!U62</f>
        <v>-285595.38494916051</v>
      </c>
      <c r="X17" s="93">
        <f>-X15*Assumptions!V62</f>
        <v>-336567.6148697132</v>
      </c>
      <c r="Y17" s="93">
        <f>-Y15*Assumptions!W62</f>
        <v>-308399.33353400859</v>
      </c>
      <c r="Z17" s="93">
        <f>-Z15*Assumptions!X62</f>
        <v>-364154.44565914251</v>
      </c>
    </row>
    <row r="18" spans="2:26" x14ac:dyDescent="0.3">
      <c r="D18" s="22"/>
      <c r="E18" s="22"/>
      <c r="F18" s="22"/>
      <c r="G18" s="22"/>
    </row>
    <row r="19" spans="2:26" ht="14.5" thickBot="1" x14ac:dyDescent="0.35">
      <c r="B19" s="13" t="s">
        <v>131</v>
      </c>
      <c r="D19" s="27">
        <v>83043.64</v>
      </c>
      <c r="E19" s="27">
        <v>60791.795885569198</v>
      </c>
      <c r="F19" s="27">
        <v>144641.90997306036</v>
      </c>
      <c r="G19" s="27">
        <v>113530.75990565913</v>
      </c>
      <c r="H19" s="94">
        <f>H15+H17</f>
        <v>192912.04438043476</v>
      </c>
      <c r="I19" s="94">
        <f t="shared" ref="I19:Z19" si="3">I15+I17</f>
        <v>163416.15990350911</v>
      </c>
      <c r="J19" s="94">
        <f t="shared" si="3"/>
        <v>255305.540613633</v>
      </c>
      <c r="K19" s="94">
        <f t="shared" si="3"/>
        <v>260212.78676134598</v>
      </c>
      <c r="L19" s="94">
        <f t="shared" si="3"/>
        <v>355357.35781271732</v>
      </c>
      <c r="M19" s="94">
        <f t="shared" si="3"/>
        <v>317917.14478307322</v>
      </c>
      <c r="N19" s="94">
        <f t="shared" si="3"/>
        <v>427083.15014234709</v>
      </c>
      <c r="O19" s="94">
        <f t="shared" si="3"/>
        <v>394989.91846385924</v>
      </c>
      <c r="P19" s="94">
        <f t="shared" si="3"/>
        <v>499399.46453125559</v>
      </c>
      <c r="Q19" s="94">
        <f t="shared" si="3"/>
        <v>457544.38366617012</v>
      </c>
      <c r="R19" s="94">
        <f t="shared" si="3"/>
        <v>572412.90571928606</v>
      </c>
      <c r="S19" s="94">
        <f t="shared" si="3"/>
        <v>516116.84483884065</v>
      </c>
      <c r="T19" s="94">
        <f t="shared" si="3"/>
        <v>594930.47574746085</v>
      </c>
      <c r="U19" s="94">
        <f t="shared" si="3"/>
        <v>542867.55550001957</v>
      </c>
      <c r="V19" s="94">
        <f t="shared" si="3"/>
        <v>662418.77175331523</v>
      </c>
      <c r="W19" s="94">
        <f t="shared" si="3"/>
        <v>606890.19301696611</v>
      </c>
      <c r="X19" s="94">
        <f t="shared" si="3"/>
        <v>715206.18159814051</v>
      </c>
      <c r="Y19" s="94">
        <f t="shared" si="3"/>
        <v>655348.58375976817</v>
      </c>
      <c r="Z19" s="94">
        <f t="shared" si="3"/>
        <v>773828.19702567789</v>
      </c>
    </row>
    <row r="20" spans="2:26" ht="14.5" thickTop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Y34"/>
  <sheetViews>
    <sheetView showGridLines="0" zoomScale="62" zoomScaleNormal="120" workbookViewId="0">
      <pane xSplit="5" ySplit="3" topLeftCell="F4" activePane="bottomRight" state="frozen"/>
      <selection pane="topRight" activeCell="F1" sqref="F1"/>
      <selection pane="bottomLeft" activeCell="A5" sqref="A5"/>
      <selection pane="bottomRight" activeCell="J17" sqref="J17"/>
    </sheetView>
  </sheetViews>
  <sheetFormatPr defaultColWidth="9.1796875" defaultRowHeight="14" x14ac:dyDescent="0.3"/>
  <cols>
    <col min="1" max="4" width="1.453125" style="13" customWidth="1"/>
    <col min="5" max="5" width="27.1796875" style="13" customWidth="1"/>
    <col min="6" max="25" width="14.26953125" style="13" bestFit="1" customWidth="1"/>
    <col min="26" max="16384" width="9.1796875" style="13"/>
  </cols>
  <sheetData>
    <row r="2" spans="2:25" x14ac:dyDescent="0.3">
      <c r="F2" s="19" t="s">
        <v>96</v>
      </c>
      <c r="G2" s="83" t="s">
        <v>97</v>
      </c>
      <c r="H2" s="83" t="s">
        <v>97</v>
      </c>
      <c r="I2" s="83" t="s">
        <v>97</v>
      </c>
      <c r="J2" s="83" t="s">
        <v>97</v>
      </c>
      <c r="K2" s="83" t="s">
        <v>97</v>
      </c>
      <c r="L2" s="83" t="s">
        <v>97</v>
      </c>
      <c r="M2" s="83" t="s">
        <v>97</v>
      </c>
      <c r="N2" s="83" t="s">
        <v>97</v>
      </c>
      <c r="O2" s="83" t="s">
        <v>97</v>
      </c>
      <c r="P2" s="83" t="s">
        <v>97</v>
      </c>
      <c r="Q2" s="83" t="s">
        <v>97</v>
      </c>
      <c r="R2" s="83" t="s">
        <v>97</v>
      </c>
      <c r="S2" s="83" t="s">
        <v>97</v>
      </c>
      <c r="T2" s="83" t="s">
        <v>97</v>
      </c>
      <c r="U2" s="83" t="s">
        <v>97</v>
      </c>
      <c r="V2" s="83" t="s">
        <v>97</v>
      </c>
      <c r="W2" s="83" t="s">
        <v>97</v>
      </c>
      <c r="X2" s="83" t="s">
        <v>97</v>
      </c>
      <c r="Y2" s="83" t="s">
        <v>97</v>
      </c>
    </row>
    <row r="3" spans="2:25" x14ac:dyDescent="0.3">
      <c r="B3" s="32" t="s">
        <v>132</v>
      </c>
      <c r="F3" s="19" t="s">
        <v>101</v>
      </c>
      <c r="G3" s="83" t="s">
        <v>2</v>
      </c>
      <c r="H3" s="83" t="s">
        <v>3</v>
      </c>
      <c r="I3" s="83" t="s">
        <v>4</v>
      </c>
      <c r="J3" s="83" t="s">
        <v>5</v>
      </c>
      <c r="K3" s="83" t="s">
        <v>6</v>
      </c>
      <c r="L3" s="83" t="s">
        <v>7</v>
      </c>
      <c r="M3" s="83" t="s">
        <v>8</v>
      </c>
      <c r="N3" s="83" t="s">
        <v>9</v>
      </c>
      <c r="O3" s="83" t="s">
        <v>10</v>
      </c>
      <c r="P3" s="83" t="s">
        <v>11</v>
      </c>
      <c r="Q3" s="83" t="s">
        <v>12</v>
      </c>
      <c r="R3" s="83" t="s">
        <v>13</v>
      </c>
      <c r="S3" s="83" t="s">
        <v>14</v>
      </c>
      <c r="T3" s="83" t="s">
        <v>15</v>
      </c>
      <c r="U3" s="83" t="s">
        <v>16</v>
      </c>
      <c r="V3" s="83" t="s">
        <v>17</v>
      </c>
      <c r="W3" s="83" t="s">
        <v>18</v>
      </c>
      <c r="X3" s="83" t="s">
        <v>19</v>
      </c>
      <c r="Y3" s="83" t="s">
        <v>20</v>
      </c>
    </row>
    <row r="4" spans="2:25" x14ac:dyDescent="0.3">
      <c r="B4" s="31" t="s">
        <v>133</v>
      </c>
      <c r="F4" s="28"/>
    </row>
    <row r="5" spans="2:25" x14ac:dyDescent="0.3">
      <c r="C5" s="31" t="s">
        <v>134</v>
      </c>
      <c r="F5" s="28"/>
    </row>
    <row r="6" spans="2:25" x14ac:dyDescent="0.3">
      <c r="C6" s="31"/>
      <c r="D6" s="31" t="s">
        <v>135</v>
      </c>
      <c r="F6" s="29">
        <v>0</v>
      </c>
      <c r="G6" s="16">
        <f>MAX(G18+G21+G25+G26-G7-G8-G9-G12,0)</f>
        <v>0</v>
      </c>
      <c r="H6" s="16">
        <f t="shared" ref="H6:Y6" si="0">MAX(H18+H21+H25+H26-H7-H8-H9-H12,0)</f>
        <v>0</v>
      </c>
      <c r="I6" s="16">
        <f t="shared" si="0"/>
        <v>0</v>
      </c>
      <c r="J6" s="16">
        <f t="shared" si="0"/>
        <v>47535.547604762018</v>
      </c>
      <c r="K6" s="16">
        <f t="shared" si="0"/>
        <v>0</v>
      </c>
      <c r="L6" s="16">
        <f t="shared" si="0"/>
        <v>29919.097023745999</v>
      </c>
      <c r="M6" s="16">
        <f t="shared" si="0"/>
        <v>54971.014410570264</v>
      </c>
      <c r="N6" s="16">
        <f t="shared" si="0"/>
        <v>171161.341313513</v>
      </c>
      <c r="O6" s="16">
        <f t="shared" si="0"/>
        <v>0</v>
      </c>
      <c r="P6" s="16">
        <f t="shared" si="0"/>
        <v>87437.642587957904</v>
      </c>
      <c r="Q6" s="16">
        <f t="shared" si="0"/>
        <v>135980.02583432756</v>
      </c>
      <c r="R6" s="16">
        <f t="shared" si="0"/>
        <v>264544.04705409147</v>
      </c>
      <c r="S6" s="16">
        <f t="shared" si="0"/>
        <v>0</v>
      </c>
      <c r="T6" s="16">
        <f t="shared" si="0"/>
        <v>51389.363407576457</v>
      </c>
      <c r="U6" s="16">
        <f t="shared" si="0"/>
        <v>79782.274247186258</v>
      </c>
      <c r="V6" s="16">
        <f t="shared" si="0"/>
        <v>216193.44262485951</v>
      </c>
      <c r="W6" s="16">
        <f t="shared" si="0"/>
        <v>0</v>
      </c>
      <c r="X6" s="16">
        <f t="shared" si="0"/>
        <v>0</v>
      </c>
      <c r="Y6" s="16">
        <f t="shared" si="0"/>
        <v>0</v>
      </c>
    </row>
    <row r="7" spans="2:25" x14ac:dyDescent="0.3">
      <c r="D7" s="31" t="s">
        <v>110</v>
      </c>
      <c r="F7" s="22">
        <v>645409.21440072393</v>
      </c>
      <c r="G7" s="17">
        <f>Manufacturing!G17+Service!G14</f>
        <v>671875.86009220371</v>
      </c>
      <c r="H7" s="17">
        <f>Manufacturing!H17+Service!H14</f>
        <v>680326.5272127185</v>
      </c>
      <c r="I7" s="17">
        <f>Manufacturing!I17+Service!I14</f>
        <v>711225.95210695267</v>
      </c>
      <c r="J7" s="17">
        <f>Manufacturing!J17+Service!J14</f>
        <v>722600.48915368703</v>
      </c>
      <c r="K7" s="17">
        <f>Manufacturing!K17+Service!K14</f>
        <v>755085.06492526399</v>
      </c>
      <c r="L7" s="17">
        <f>Manufacturing!L17+Service!L14</f>
        <v>766190.84038285364</v>
      </c>
      <c r="M7" s="17">
        <f>Manufacturing!M17+Service!M14</f>
        <v>803232.80618037237</v>
      </c>
      <c r="N7" s="17">
        <f>Manufacturing!N17+Service!N14</f>
        <v>813958.74495970027</v>
      </c>
      <c r="O7" s="17">
        <f>Manufacturing!O17+Service!O14</f>
        <v>851552.29140872299</v>
      </c>
      <c r="P7" s="17">
        <f>Manufacturing!P17+Service!P14</f>
        <v>864634.64992184727</v>
      </c>
      <c r="Q7" s="96">
        <f>Manufacturing!Q17+Service!Q14</f>
        <v>905369.0250585695</v>
      </c>
      <c r="R7" s="96">
        <f>Manufacturing!R17+Service!R14</f>
        <v>917516.00121440599</v>
      </c>
      <c r="S7" s="17">
        <f>Manufacturing!S17+Service!S14</f>
        <v>959308.22752018808</v>
      </c>
      <c r="T7" s="17">
        <f>Manufacturing!T17+Service!T14</f>
        <v>974494.28715837316</v>
      </c>
      <c r="U7" s="17">
        <f>Manufacturing!U17+Service!U14</f>
        <v>1019565.2196178167</v>
      </c>
      <c r="V7" s="17">
        <f>Manufacturing!V17+Service!V14</f>
        <v>1031241.757368915</v>
      </c>
      <c r="W7" s="17">
        <f>Manufacturing!W17+Service!W14</f>
        <v>1075196.5575978258</v>
      </c>
      <c r="X7" s="17">
        <f>Manufacturing!X17+Service!X14</f>
        <v>1091858.4822205727</v>
      </c>
      <c r="Y7" s="17">
        <f>Manufacturing!Y17+Service!Y14</f>
        <v>1139038.1243425272</v>
      </c>
    </row>
    <row r="8" spans="2:25" x14ac:dyDescent="0.3">
      <c r="D8" s="31" t="s">
        <v>111</v>
      </c>
      <c r="F8" s="22">
        <v>104822.52054794521</v>
      </c>
      <c r="G8" s="17">
        <f>Manufacturing!G18+Service!G15</f>
        <v>129501.54082191782</v>
      </c>
      <c r="H8" s="17">
        <f>Manufacturing!H18+Service!H15</f>
        <v>114559.05534246576</v>
      </c>
      <c r="I8" s="17">
        <f>Manufacturing!I18+Service!I15</f>
        <v>144043.02739726027</v>
      </c>
      <c r="J8" s="17">
        <f>Manufacturing!J18+Service!J15</f>
        <v>119141.21643835616</v>
      </c>
      <c r="K8" s="17">
        <f>Manufacturing!K18+Service!K15</f>
        <v>143950.56</v>
      </c>
      <c r="L8" s="17">
        <f>Manufacturing!L18+Service!L15</f>
        <v>126233.56800000003</v>
      </c>
      <c r="M8" s="17">
        <f>Manufacturing!M18+Service!M15</f>
        <v>157329.9</v>
      </c>
      <c r="N8" s="17">
        <f>Manufacturing!N18+Service!N15</f>
        <v>130473.45920000003</v>
      </c>
      <c r="O8" s="17">
        <f>Manufacturing!O18+Service!O15</f>
        <v>158375.25288000001</v>
      </c>
      <c r="P8" s="17">
        <f>Manufacturing!P18+Service!P15</f>
        <v>137631.71664000003</v>
      </c>
      <c r="Q8" s="96">
        <f>Manufacturing!Q18+Service!Q15</f>
        <v>169976.44755000004</v>
      </c>
      <c r="R8" s="96">
        <f>Manufacturing!R18+Service!R15</f>
        <v>136094.19705863018</v>
      </c>
      <c r="S8" s="17">
        <f>Manufacturing!S18+Service!S15</f>
        <v>163668.37644887672</v>
      </c>
      <c r="T8" s="17">
        <f>Manufacturing!T18+Service!T15</f>
        <v>140902.29513468494</v>
      </c>
      <c r="U8" s="17">
        <f>Manufacturing!U18+Service!U15</f>
        <v>172373.9853452055</v>
      </c>
      <c r="V8" s="17">
        <f>Manufacturing!V18+Service!V15</f>
        <v>141537.96494097539</v>
      </c>
      <c r="W8" s="17">
        <f>Manufacturing!W18+Service!W15</f>
        <v>168578.42774234302</v>
      </c>
      <c r="X8" s="17">
        <f>Manufacturing!X18+Service!X15</f>
        <v>143720.34103737868</v>
      </c>
      <c r="Y8" s="17">
        <f>Manufacturing!Y18+Service!Y15</f>
        <v>174097.72519865757</v>
      </c>
    </row>
    <row r="9" spans="2:25" ht="15.5" x14ac:dyDescent="0.45">
      <c r="D9" s="31" t="s">
        <v>112</v>
      </c>
      <c r="F9" s="24">
        <v>425726.03055342467</v>
      </c>
      <c r="G9" s="25">
        <f>Manufacturing!G19+Service!G16</f>
        <v>495426.4867956895</v>
      </c>
      <c r="H9" s="25">
        <f>Manufacturing!H19+Service!H16</f>
        <v>488234.14308340312</v>
      </c>
      <c r="I9" s="25">
        <f>Manufacturing!I19+Service!I16</f>
        <v>567189.50000705523</v>
      </c>
      <c r="J9" s="25">
        <f>Manufacturing!J19+Service!J16</f>
        <v>571990.01019315538</v>
      </c>
      <c r="K9" s="25">
        <f>Manufacturing!K19+Service!K16</f>
        <v>652946.52555241412</v>
      </c>
      <c r="L9" s="25">
        <f>Manufacturing!L19+Service!L16</f>
        <v>644320.75370848353</v>
      </c>
      <c r="M9" s="25">
        <f>Manufacturing!M19+Service!M16</f>
        <v>736233.12845860294</v>
      </c>
      <c r="N9" s="25">
        <f>Manufacturing!N19+Service!N16</f>
        <v>723717.95135048567</v>
      </c>
      <c r="O9" s="25">
        <f>Manufacturing!O19+Service!O16</f>
        <v>814286.18728715344</v>
      </c>
      <c r="P9" s="25">
        <f>Manufacturing!P19+Service!P16</f>
        <v>803345.44453974359</v>
      </c>
      <c r="Q9" s="101">
        <f>Manufacturing!Q19+Service!Q16</f>
        <v>901174.67272589821</v>
      </c>
      <c r="R9" s="101">
        <f>Manufacturing!R19+Service!R16</f>
        <v>877427.82166165649</v>
      </c>
      <c r="S9" s="25">
        <f>Manufacturing!S19+Service!S16</f>
        <v>972445.89311675401</v>
      </c>
      <c r="T9" s="25">
        <f>Manufacturing!T19+Service!T16</f>
        <v>957071.84843891347</v>
      </c>
      <c r="U9" s="25">
        <f>Manufacturing!U19+Service!U16</f>
        <v>1059491.2405564152</v>
      </c>
      <c r="V9" s="25">
        <f>Manufacturing!V19+Service!V16</f>
        <v>1026132.741358601</v>
      </c>
      <c r="W9" s="25">
        <f>Manufacturing!W19+Service!W16</f>
        <v>1121056.5261040123</v>
      </c>
      <c r="X9" s="25">
        <f>Manufacturing!X19+Service!X16</f>
        <v>1102365.4267679076</v>
      </c>
      <c r="Y9" s="25">
        <f>Manufacturing!Y19+Service!Y16</f>
        <v>1204245.1811755351</v>
      </c>
    </row>
    <row r="10" spans="2:25" x14ac:dyDescent="0.3">
      <c r="C10" s="31" t="s">
        <v>136</v>
      </c>
      <c r="F10" s="22">
        <v>1175957.7655020938</v>
      </c>
      <c r="G10" s="17">
        <f>SUM(G6:G9)</f>
        <v>1296803.8877098111</v>
      </c>
      <c r="H10" s="17">
        <f t="shared" ref="H10:Y10" si="1">SUM(H6:H9)</f>
        <v>1283119.7256385875</v>
      </c>
      <c r="I10" s="17">
        <f t="shared" si="1"/>
        <v>1422458.4795112682</v>
      </c>
      <c r="J10" s="17">
        <f t="shared" si="1"/>
        <v>1461267.2633899606</v>
      </c>
      <c r="K10" s="17">
        <f t="shared" si="1"/>
        <v>1551982.150477678</v>
      </c>
      <c r="L10" s="17">
        <f t="shared" si="1"/>
        <v>1566664.2591150831</v>
      </c>
      <c r="M10" s="17">
        <f t="shared" si="1"/>
        <v>1751766.8490495456</v>
      </c>
      <c r="N10" s="17">
        <f t="shared" si="1"/>
        <v>1839311.496823699</v>
      </c>
      <c r="O10" s="17">
        <f t="shared" si="1"/>
        <v>1824213.7315758765</v>
      </c>
      <c r="P10" s="17">
        <f t="shared" si="1"/>
        <v>1893049.4536895487</v>
      </c>
      <c r="Q10" s="96">
        <f t="shared" si="1"/>
        <v>2112500.1711687953</v>
      </c>
      <c r="R10" s="96">
        <f t="shared" si="1"/>
        <v>2195582.0669887839</v>
      </c>
      <c r="S10" s="17">
        <f t="shared" si="1"/>
        <v>2095422.4970858188</v>
      </c>
      <c r="T10" s="17">
        <f t="shared" si="1"/>
        <v>2123857.7941395482</v>
      </c>
      <c r="U10" s="17">
        <f t="shared" si="1"/>
        <v>2331212.7197666233</v>
      </c>
      <c r="V10" s="17">
        <f t="shared" si="1"/>
        <v>2415105.9062933512</v>
      </c>
      <c r="W10" s="17">
        <f t="shared" si="1"/>
        <v>2364831.5114441812</v>
      </c>
      <c r="X10" s="17">
        <f t="shared" si="1"/>
        <v>2337944.2500258591</v>
      </c>
      <c r="Y10" s="17">
        <f t="shared" si="1"/>
        <v>2517381.03071672</v>
      </c>
    </row>
    <row r="11" spans="2:25" ht="7.5" customHeight="1" x14ac:dyDescent="0.3">
      <c r="F11" s="22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96"/>
      <c r="R11" s="96"/>
      <c r="S11" s="17"/>
      <c r="T11" s="17"/>
      <c r="U11" s="17"/>
      <c r="V11" s="17"/>
      <c r="W11" s="17"/>
      <c r="X11" s="17"/>
      <c r="Y11" s="17"/>
    </row>
    <row r="12" spans="2:25" ht="15.5" x14ac:dyDescent="0.45">
      <c r="C12" s="31" t="s">
        <v>137</v>
      </c>
      <c r="F12" s="24">
        <v>7923330.2421993334</v>
      </c>
      <c r="G12" s="25">
        <f>Service!G12+Manufacturing!G15</f>
        <v>8001338.6779198395</v>
      </c>
      <c r="H12" s="25">
        <f>Service!H12+Manufacturing!H15</f>
        <v>8079035.1261652764</v>
      </c>
      <c r="I12" s="25">
        <f>Service!I12+Manufacturing!I15</f>
        <v>8265443.6770173516</v>
      </c>
      <c r="J12" s="25">
        <f>Service!J12+Manufacturing!J15</f>
        <v>8352125.4395998642</v>
      </c>
      <c r="K12" s="25">
        <f>Service!K12+Manufacturing!K15</f>
        <v>8741696.3480880111</v>
      </c>
      <c r="L12" s="25">
        <f>Service!L12+Manufacturing!L15</f>
        <v>8841376.8041810151</v>
      </c>
      <c r="M12" s="25">
        <f>Service!M12+Manufacturing!M15</f>
        <v>9048403.1868895516</v>
      </c>
      <c r="N12" s="25">
        <f>Service!N12+Manufacturing!N15</f>
        <v>9157826.9642434008</v>
      </c>
      <c r="O12" s="25">
        <f>Service!O12+Manufacturing!O15</f>
        <v>9567176.2473931052</v>
      </c>
      <c r="P12" s="25">
        <f>Service!P12+Manufacturing!P15</f>
        <v>9684766.2958132159</v>
      </c>
      <c r="Q12" s="101">
        <f>Service!Q12+Manufacturing!Q15</f>
        <v>9854224.2058026586</v>
      </c>
      <c r="R12" s="101">
        <f>Service!R12+Manufacturing!R15</f>
        <v>9985383.7600192614</v>
      </c>
      <c r="S12" s="25">
        <f>Service!S12+Manufacturing!S15</f>
        <v>10516390.05658026</v>
      </c>
      <c r="T12" s="25">
        <f>Service!T12+Manufacturing!T15</f>
        <v>10656997.949649759</v>
      </c>
      <c r="U12" s="25">
        <f>Service!U12+Manufacturing!U15</f>
        <v>10849389.25001014</v>
      </c>
      <c r="V12" s="25">
        <f>Service!V12+Manufacturing!V15</f>
        <v>10995763.561000159</v>
      </c>
      <c r="W12" s="25">
        <f>Service!W12+Manufacturing!W15</f>
        <v>11641930.848541563</v>
      </c>
      <c r="X12" s="25">
        <f>Service!X12+Manufacturing!X15</f>
        <v>11798713.818445314</v>
      </c>
      <c r="Y12" s="25">
        <f>Service!Y12+Manufacturing!Y15</f>
        <v>12007222.100729521</v>
      </c>
    </row>
    <row r="13" spans="2:25" ht="14.5" thickBot="1" x14ac:dyDescent="0.35">
      <c r="B13" s="31" t="s">
        <v>138</v>
      </c>
      <c r="F13" s="27">
        <v>9099288.0077014267</v>
      </c>
      <c r="G13" s="30">
        <f>G10+G12</f>
        <v>9298142.5656296499</v>
      </c>
      <c r="H13" s="30">
        <f t="shared" ref="H13:Y13" si="2">H10+H12</f>
        <v>9362154.8518038634</v>
      </c>
      <c r="I13" s="30">
        <f t="shared" si="2"/>
        <v>9687902.15652862</v>
      </c>
      <c r="J13" s="30">
        <f t="shared" si="2"/>
        <v>9813392.7029898241</v>
      </c>
      <c r="K13" s="30">
        <f t="shared" si="2"/>
        <v>10293678.498565689</v>
      </c>
      <c r="L13" s="30">
        <f t="shared" si="2"/>
        <v>10408041.063296098</v>
      </c>
      <c r="M13" s="30">
        <f t="shared" si="2"/>
        <v>10800170.035939097</v>
      </c>
      <c r="N13" s="30">
        <f t="shared" si="2"/>
        <v>10997138.461067099</v>
      </c>
      <c r="O13" s="30">
        <f t="shared" si="2"/>
        <v>11391389.978968982</v>
      </c>
      <c r="P13" s="30">
        <f t="shared" si="2"/>
        <v>11577815.749502765</v>
      </c>
      <c r="Q13" s="124">
        <f t="shared" si="2"/>
        <v>11966724.376971453</v>
      </c>
      <c r="R13" s="124">
        <f t="shared" si="2"/>
        <v>12180965.827008046</v>
      </c>
      <c r="S13" s="30">
        <f t="shared" si="2"/>
        <v>12611812.553666079</v>
      </c>
      <c r="T13" s="30">
        <f t="shared" si="2"/>
        <v>12780855.743789308</v>
      </c>
      <c r="U13" s="30">
        <f t="shared" si="2"/>
        <v>13180601.969776765</v>
      </c>
      <c r="V13" s="30">
        <f t="shared" si="2"/>
        <v>13410869.46729351</v>
      </c>
      <c r="W13" s="30">
        <f t="shared" si="2"/>
        <v>14006762.359985745</v>
      </c>
      <c r="X13" s="30">
        <f t="shared" si="2"/>
        <v>14136658.068471173</v>
      </c>
      <c r="Y13" s="30">
        <f t="shared" si="2"/>
        <v>14524603.131446242</v>
      </c>
    </row>
    <row r="14" spans="2:25" ht="14.5" thickTop="1" x14ac:dyDescent="0.3">
      <c r="F14" s="22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96"/>
      <c r="R14" s="96"/>
      <c r="S14" s="17"/>
      <c r="T14" s="17"/>
      <c r="U14" s="17"/>
      <c r="V14" s="17"/>
      <c r="W14" s="17"/>
      <c r="X14" s="17"/>
      <c r="Y14" s="17"/>
    </row>
    <row r="15" spans="2:25" x14ac:dyDescent="0.3">
      <c r="B15" s="31" t="s">
        <v>139</v>
      </c>
      <c r="F15" s="22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96"/>
      <c r="R15" s="96"/>
      <c r="S15" s="17"/>
      <c r="T15" s="17"/>
      <c r="U15" s="17"/>
      <c r="V15" s="17"/>
      <c r="W15" s="17"/>
      <c r="X15" s="17"/>
      <c r="Y15" s="17"/>
    </row>
    <row r="16" spans="2:25" x14ac:dyDescent="0.3">
      <c r="C16" s="31" t="s">
        <v>140</v>
      </c>
      <c r="F16" s="22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96"/>
      <c r="R16" s="96"/>
      <c r="S16" s="17"/>
      <c r="T16" s="17"/>
      <c r="U16" s="17"/>
      <c r="V16" s="17"/>
      <c r="W16" s="17"/>
      <c r="X16" s="17"/>
      <c r="Y16" s="17"/>
    </row>
    <row r="17" spans="2:25" x14ac:dyDescent="0.3">
      <c r="D17" s="31" t="s">
        <v>141</v>
      </c>
      <c r="F17" s="29">
        <v>58599.640716315946</v>
      </c>
      <c r="G17" s="16">
        <f>MAX(G7+G8+G9+G12-G18-G21-G25-G26,0)</f>
        <v>85183.682978204219</v>
      </c>
      <c r="H17" s="16">
        <f t="shared" ref="H17:Y17" si="3">MAX(H7+H8+H9+H12-H18-H21-H25-H26,0)</f>
        <v>5332.7680538252462</v>
      </c>
      <c r="I17" s="16">
        <f t="shared" si="3"/>
        <v>94166.09504243813</v>
      </c>
      <c r="J17" s="16">
        <f t="shared" si="3"/>
        <v>0</v>
      </c>
      <c r="K17" s="16">
        <f t="shared" si="3"/>
        <v>161550.41093332367</v>
      </c>
      <c r="L17" s="16">
        <f t="shared" si="3"/>
        <v>0</v>
      </c>
      <c r="M17" s="16">
        <f t="shared" si="3"/>
        <v>0</v>
      </c>
      <c r="N17" s="16">
        <f t="shared" si="3"/>
        <v>0</v>
      </c>
      <c r="O17" s="16">
        <f t="shared" si="3"/>
        <v>79055.179701359011</v>
      </c>
      <c r="P17" s="16">
        <f t="shared" si="3"/>
        <v>0</v>
      </c>
      <c r="Q17" s="16">
        <f t="shared" si="3"/>
        <v>0</v>
      </c>
      <c r="R17" s="16">
        <f t="shared" si="3"/>
        <v>0</v>
      </c>
      <c r="S17" s="16">
        <f t="shared" si="3"/>
        <v>99129.641495055053</v>
      </c>
      <c r="T17" s="16">
        <f t="shared" si="3"/>
        <v>0</v>
      </c>
      <c r="U17" s="16">
        <f t="shared" si="3"/>
        <v>0</v>
      </c>
      <c r="V17" s="16">
        <f t="shared" si="3"/>
        <v>0</v>
      </c>
      <c r="W17" s="16">
        <f t="shared" si="3"/>
        <v>243694.86563019641</v>
      </c>
      <c r="X17" s="16">
        <f t="shared" si="3"/>
        <v>93027.808041434735</v>
      </c>
      <c r="Y17" s="16">
        <f t="shared" si="3"/>
        <v>69501.638153796084</v>
      </c>
    </row>
    <row r="18" spans="2:25" ht="15.5" x14ac:dyDescent="0.45">
      <c r="D18" s="31" t="s">
        <v>113</v>
      </c>
      <c r="F18" s="24">
        <v>104347.26122082191</v>
      </c>
      <c r="G18" s="25">
        <f>Service!G17+Manufacturing!G20</f>
        <v>108705.73250672218</v>
      </c>
      <c r="H18" s="25">
        <f>Service!H17+Manufacturing!H20</f>
        <v>114152.77370180593</v>
      </c>
      <c r="I18" s="25">
        <f>Service!I17+Manufacturing!I20</f>
        <v>120761.21082431654</v>
      </c>
      <c r="J18" s="25">
        <f>Service!J17+Manufacturing!J20</f>
        <v>130205.06556661398</v>
      </c>
      <c r="K18" s="25">
        <f>Service!K17+Manufacturing!K20</f>
        <v>143583.09239643608</v>
      </c>
      <c r="L18" s="25">
        <f>Service!L17+Manufacturing!L20</f>
        <v>151578.9232770963</v>
      </c>
      <c r="M18" s="25">
        <f>Service!M17+Manufacturing!M20</f>
        <v>166624.74577774864</v>
      </c>
      <c r="N18" s="25">
        <f>Service!N17+Manufacturing!N20</f>
        <v>168603.25244189173</v>
      </c>
      <c r="O18" s="25">
        <f>Service!O17+Manufacturing!O20</f>
        <v>184400.12611115942</v>
      </c>
      <c r="P18" s="25">
        <f>Service!P17+Manufacturing!P20</f>
        <v>192336.69268013054</v>
      </c>
      <c r="Q18" s="101">
        <f>Service!Q17+Manufacturing!Q20</f>
        <v>208832.41442953248</v>
      </c>
      <c r="R18" s="101">
        <f>Service!R17+Manufacturing!R20</f>
        <v>206957.01962728566</v>
      </c>
      <c r="S18" s="25">
        <f>Service!S17+Manufacturing!S20</f>
        <v>223743.62904280261</v>
      </c>
      <c r="T18" s="25">
        <f>Service!T17+Manufacturing!T20</f>
        <v>229048.9051610654</v>
      </c>
      <c r="U18" s="25">
        <f>Service!U17+Manufacturing!U20</f>
        <v>246376.3593952079</v>
      </c>
      <c r="V18" s="25">
        <f>Service!V17+Manufacturing!V20</f>
        <v>249753.66389498507</v>
      </c>
      <c r="W18" s="25">
        <f>Service!W17+Manufacturing!W20</f>
        <v>266745.50935888453</v>
      </c>
      <c r="X18" s="25">
        <f>Service!X17+Manufacturing!X20</f>
        <v>271959.69167330756</v>
      </c>
      <c r="Y18" s="25">
        <f>Service!Y17+Manufacturing!Y20</f>
        <v>289602.72751033632</v>
      </c>
    </row>
    <row r="19" spans="2:25" x14ac:dyDescent="0.3">
      <c r="C19" s="31" t="s">
        <v>142</v>
      </c>
      <c r="F19" s="22">
        <v>162946.90193713829</v>
      </c>
      <c r="G19" s="17">
        <f>SUM(G17:G18)</f>
        <v>193889.4154849264</v>
      </c>
      <c r="H19" s="17">
        <f t="shared" ref="H19:Y19" si="4">SUM(H17:H18)</f>
        <v>119485.54175563117</v>
      </c>
      <c r="I19" s="17">
        <f t="shared" si="4"/>
        <v>214927.30586675467</v>
      </c>
      <c r="J19" s="17">
        <f t="shared" si="4"/>
        <v>130205.06556661398</v>
      </c>
      <c r="K19" s="17">
        <f t="shared" si="4"/>
        <v>305133.50332975975</v>
      </c>
      <c r="L19" s="17">
        <f t="shared" si="4"/>
        <v>151578.9232770963</v>
      </c>
      <c r="M19" s="17">
        <f t="shared" si="4"/>
        <v>166624.74577774864</v>
      </c>
      <c r="N19" s="17">
        <f t="shared" si="4"/>
        <v>168603.25244189173</v>
      </c>
      <c r="O19" s="17">
        <f t="shared" si="4"/>
        <v>263455.30581251846</v>
      </c>
      <c r="P19" s="17">
        <f t="shared" si="4"/>
        <v>192336.69268013054</v>
      </c>
      <c r="Q19" s="96">
        <f t="shared" si="4"/>
        <v>208832.41442953248</v>
      </c>
      <c r="R19" s="96">
        <f t="shared" si="4"/>
        <v>206957.01962728566</v>
      </c>
      <c r="S19" s="17">
        <f t="shared" si="4"/>
        <v>322873.27053785766</v>
      </c>
      <c r="T19" s="17">
        <f t="shared" si="4"/>
        <v>229048.9051610654</v>
      </c>
      <c r="U19" s="17">
        <f t="shared" si="4"/>
        <v>246376.3593952079</v>
      </c>
      <c r="V19" s="17">
        <f t="shared" si="4"/>
        <v>249753.66389498507</v>
      </c>
      <c r="W19" s="17">
        <f t="shared" si="4"/>
        <v>510440.37498908094</v>
      </c>
      <c r="X19" s="17">
        <f t="shared" si="4"/>
        <v>364987.4997147423</v>
      </c>
      <c r="Y19" s="17">
        <f t="shared" si="4"/>
        <v>359104.36566413241</v>
      </c>
    </row>
    <row r="20" spans="2:25" ht="7.5" customHeight="1" x14ac:dyDescent="0.3">
      <c r="F20" s="22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96"/>
      <c r="R20" s="96"/>
      <c r="S20" s="17"/>
      <c r="T20" s="17"/>
      <c r="U20" s="17"/>
      <c r="V20" s="17"/>
      <c r="W20" s="17"/>
      <c r="X20" s="17"/>
      <c r="Y20" s="17"/>
    </row>
    <row r="21" spans="2:25" ht="15.5" x14ac:dyDescent="0.45">
      <c r="C21" s="31" t="s">
        <v>143</v>
      </c>
      <c r="F21" s="24">
        <v>2500000</v>
      </c>
      <c r="G21" s="25">
        <f>Assumptions!F58</f>
        <v>2500000</v>
      </c>
      <c r="H21" s="25">
        <f>Assumptions!G58</f>
        <v>2500000</v>
      </c>
      <c r="I21" s="25">
        <f>Assumptions!H58</f>
        <v>2500000</v>
      </c>
      <c r="J21" s="25">
        <f>Assumptions!I58</f>
        <v>2500000</v>
      </c>
      <c r="K21" s="25">
        <f>Assumptions!J58</f>
        <v>2500000</v>
      </c>
      <c r="L21" s="25">
        <f>Assumptions!K58</f>
        <v>2500000</v>
      </c>
      <c r="M21" s="25">
        <f>Assumptions!L58</f>
        <v>2500000</v>
      </c>
      <c r="N21" s="25">
        <f>Assumptions!M58</f>
        <v>2500000</v>
      </c>
      <c r="O21" s="25">
        <f>Assumptions!N58</f>
        <v>2500000</v>
      </c>
      <c r="P21" s="25">
        <f>Assumptions!O58</f>
        <v>2500000</v>
      </c>
      <c r="Q21" s="101">
        <f>Assumptions!P58</f>
        <v>2500000</v>
      </c>
      <c r="R21" s="101">
        <f>Assumptions!Q58</f>
        <v>6000000</v>
      </c>
      <c r="S21" s="25">
        <f>Assumptions!R58</f>
        <v>6000000</v>
      </c>
      <c r="T21" s="25">
        <f>Assumptions!S58</f>
        <v>6000000</v>
      </c>
      <c r="U21" s="25">
        <f>Assumptions!T58</f>
        <v>6000000</v>
      </c>
      <c r="V21" s="25">
        <f>Assumptions!U58</f>
        <v>6000000</v>
      </c>
      <c r="W21" s="25">
        <f>Assumptions!V58</f>
        <v>6000000</v>
      </c>
      <c r="X21" s="25">
        <f>Assumptions!W58</f>
        <v>6000000</v>
      </c>
      <c r="Y21" s="25">
        <f>Assumptions!X58</f>
        <v>6000000</v>
      </c>
    </row>
    <row r="22" spans="2:25" x14ac:dyDescent="0.3">
      <c r="B22" s="31" t="s">
        <v>144</v>
      </c>
      <c r="F22" s="22">
        <v>2662946.9019371383</v>
      </c>
      <c r="G22" s="17">
        <f>G19+G21</f>
        <v>2693889.4154849262</v>
      </c>
      <c r="H22" s="17">
        <f t="shared" ref="H22:Y22" si="5">H19+H21</f>
        <v>2619485.5417556311</v>
      </c>
      <c r="I22" s="17">
        <f t="shared" si="5"/>
        <v>2714927.3058667546</v>
      </c>
      <c r="J22" s="17">
        <f t="shared" si="5"/>
        <v>2630205.0655666138</v>
      </c>
      <c r="K22" s="17">
        <f t="shared" si="5"/>
        <v>2805133.5033297599</v>
      </c>
      <c r="L22" s="17">
        <f t="shared" si="5"/>
        <v>2651578.9232770964</v>
      </c>
      <c r="M22" s="17">
        <f t="shared" si="5"/>
        <v>2666624.7457777485</v>
      </c>
      <c r="N22" s="17">
        <f t="shared" si="5"/>
        <v>2668603.2524418919</v>
      </c>
      <c r="O22" s="17">
        <f t="shared" si="5"/>
        <v>2763455.3058125186</v>
      </c>
      <c r="P22" s="17">
        <f t="shared" si="5"/>
        <v>2692336.6926801307</v>
      </c>
      <c r="Q22" s="96">
        <f t="shared" si="5"/>
        <v>2708832.4144295324</v>
      </c>
      <c r="R22" s="96">
        <f t="shared" si="5"/>
        <v>6206957.0196272861</v>
      </c>
      <c r="S22" s="17">
        <f t="shared" si="5"/>
        <v>6322873.2705378579</v>
      </c>
      <c r="T22" s="17">
        <f t="shared" si="5"/>
        <v>6229048.905161065</v>
      </c>
      <c r="U22" s="17">
        <f t="shared" si="5"/>
        <v>6246376.3593952078</v>
      </c>
      <c r="V22" s="17">
        <f t="shared" si="5"/>
        <v>6249753.6638949849</v>
      </c>
      <c r="W22" s="17">
        <f t="shared" si="5"/>
        <v>6510440.3749890812</v>
      </c>
      <c r="X22" s="17">
        <f t="shared" si="5"/>
        <v>6364987.4997147424</v>
      </c>
      <c r="Y22" s="17">
        <f t="shared" si="5"/>
        <v>6359104.3656641319</v>
      </c>
    </row>
    <row r="23" spans="2:25" ht="7.5" customHeight="1" x14ac:dyDescent="0.3">
      <c r="F23" s="22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96"/>
      <c r="R23" s="96"/>
      <c r="S23" s="17"/>
      <c r="T23" s="17"/>
      <c r="U23" s="17"/>
      <c r="V23" s="17"/>
      <c r="W23" s="17"/>
      <c r="X23" s="17"/>
      <c r="Y23" s="17"/>
    </row>
    <row r="24" spans="2:25" x14ac:dyDescent="0.3">
      <c r="C24" s="31" t="s">
        <v>145</v>
      </c>
      <c r="F24" s="22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96"/>
      <c r="R24" s="96"/>
      <c r="S24" s="17"/>
      <c r="T24" s="17"/>
      <c r="U24" s="17"/>
      <c r="V24" s="17"/>
      <c r="W24" s="17"/>
      <c r="X24" s="17"/>
      <c r="Y24" s="17"/>
    </row>
    <row r="25" spans="2:25" x14ac:dyDescent="0.3">
      <c r="D25" s="31" t="s">
        <v>146</v>
      </c>
      <c r="F25" s="22">
        <v>6200000</v>
      </c>
      <c r="G25" s="17">
        <f>Assumptions!F59</f>
        <v>6200000</v>
      </c>
      <c r="H25" s="17">
        <f>Assumptions!G59</f>
        <v>6200000</v>
      </c>
      <c r="I25" s="17">
        <f>Assumptions!H59</f>
        <v>6200000</v>
      </c>
      <c r="J25" s="17">
        <f>Assumptions!I59</f>
        <v>6200000</v>
      </c>
      <c r="K25" s="17">
        <f>Assumptions!J59</f>
        <v>6200000</v>
      </c>
      <c r="L25" s="17">
        <f>Assumptions!K59</f>
        <v>6200000</v>
      </c>
      <c r="M25" s="17">
        <f>Assumptions!L59</f>
        <v>6200000</v>
      </c>
      <c r="N25" s="17">
        <f>Assumptions!M59</f>
        <v>6200000</v>
      </c>
      <c r="O25" s="17">
        <f>Assumptions!N59</f>
        <v>6200000</v>
      </c>
      <c r="P25" s="17">
        <f>Assumptions!O59</f>
        <v>6200000</v>
      </c>
      <c r="Q25" s="96">
        <f>Assumptions!P59</f>
        <v>6200000</v>
      </c>
      <c r="R25" s="96">
        <f>Assumptions!Q59</f>
        <v>2680000</v>
      </c>
      <c r="S25" s="17">
        <f>Assumptions!R59</f>
        <v>2680000</v>
      </c>
      <c r="T25" s="17">
        <f>Assumptions!S59</f>
        <v>2680000</v>
      </c>
      <c r="U25" s="17">
        <f>Assumptions!T59</f>
        <v>2680000</v>
      </c>
      <c r="V25" s="17">
        <f>Assumptions!U59</f>
        <v>2680000</v>
      </c>
      <c r="W25" s="17">
        <f>Assumptions!V59</f>
        <v>2680000</v>
      </c>
      <c r="X25" s="17">
        <f>Assumptions!W59</f>
        <v>2680000</v>
      </c>
      <c r="Y25" s="17">
        <f>Assumptions!X59</f>
        <v>2680000</v>
      </c>
    </row>
    <row r="26" spans="2:25" s="51" customFormat="1" ht="15.5" x14ac:dyDescent="0.45">
      <c r="D26" s="125" t="s">
        <v>147</v>
      </c>
      <c r="F26" s="127">
        <v>236341.10576428869</v>
      </c>
      <c r="G26" s="126">
        <f>F26+'Consolidated P&amp;L'!H19-Assumptions!F60</f>
        <v>404253.15014472348</v>
      </c>
      <c r="H26" s="126">
        <f>G26+'Consolidated P&amp;L'!I19-Assumptions!G60</f>
        <v>542669.31004823255</v>
      </c>
      <c r="I26" s="126">
        <f>H26+'Consolidated P&amp;L'!J19-Assumptions!H60</f>
        <v>772974.85066186555</v>
      </c>
      <c r="J26" s="126">
        <f>I26+'Consolidated P&amp;L'!K19-Assumptions!I60</f>
        <v>983187.63742321148</v>
      </c>
      <c r="K26" s="126">
        <f>J26+'Consolidated P&amp;L'!L19-Assumptions!J60</f>
        <v>1288544.9952359288</v>
      </c>
      <c r="L26" s="126">
        <f>K26+'Consolidated P&amp;L'!M19-Assumptions!K60</f>
        <v>1556462.1400190019</v>
      </c>
      <c r="M26" s="126">
        <f>L26+'Consolidated P&amp;L'!N19-Assumptions!L60</f>
        <v>1933545.2901613489</v>
      </c>
      <c r="N26" s="126">
        <f>M26+'Consolidated P&amp;L'!O19-Assumptions!M60</f>
        <v>2128535.2086252081</v>
      </c>
      <c r="O26" s="126">
        <f>N26+'Consolidated P&amp;L'!P19-Assumptions!N60</f>
        <v>2427934.6731564635</v>
      </c>
      <c r="P26" s="126">
        <f>O26+'Consolidated P&amp;L'!Q19-Assumptions!O60</f>
        <v>2685479.0568226338</v>
      </c>
      <c r="Q26" s="126">
        <f>P26+'Consolidated P&amp;L'!R19-Assumptions!P60</f>
        <v>3057891.9625419201</v>
      </c>
      <c r="R26" s="126">
        <f>Q26+'Consolidated P&amp;L'!S19-Assumptions!Q60</f>
        <v>3294008.807380761</v>
      </c>
      <c r="S26" s="126">
        <f>R26+'Consolidated P&amp;L'!T19-Assumptions!R60</f>
        <v>3608939.283128222</v>
      </c>
      <c r="T26" s="126">
        <f>S26+'Consolidated P&amp;L'!U19-Assumptions!S60</f>
        <v>3871806.8386282418</v>
      </c>
      <c r="U26" s="126">
        <f>T26+'Consolidated P&amp;L'!V19-Assumptions!T60</f>
        <v>4254225.6103815567</v>
      </c>
      <c r="V26" s="126">
        <f>U26+'Consolidated P&amp;L'!W19-Assumptions!U60</f>
        <v>4481115.8033985225</v>
      </c>
      <c r="W26" s="126">
        <f>V26+'Consolidated P&amp;L'!X19-Assumptions!V60</f>
        <v>4816321.9849966634</v>
      </c>
      <c r="X26" s="126">
        <f>W26+'Consolidated P&amp;L'!Y19-Assumptions!W60</f>
        <v>5091670.5687564313</v>
      </c>
      <c r="Y26" s="126">
        <f>X26+'Consolidated P&amp;L'!Z19-Assumptions!X60</f>
        <v>5485498.7657821095</v>
      </c>
    </row>
    <row r="27" spans="2:25" x14ac:dyDescent="0.3">
      <c r="B27" s="31" t="s">
        <v>148</v>
      </c>
      <c r="F27" s="22">
        <v>6436341.1057642885</v>
      </c>
      <c r="G27" s="17">
        <f>SUM(G25:G26)</f>
        <v>6604253.1501447232</v>
      </c>
      <c r="H27" s="17">
        <f t="shared" ref="H27:Y27" si="6">SUM(H25:H26)</f>
        <v>6742669.3100482328</v>
      </c>
      <c r="I27" s="17">
        <f t="shared" si="6"/>
        <v>6972974.8506618654</v>
      </c>
      <c r="J27" s="17">
        <f t="shared" si="6"/>
        <v>7183187.6374232117</v>
      </c>
      <c r="K27" s="17">
        <f t="shared" si="6"/>
        <v>7488544.9952359293</v>
      </c>
      <c r="L27" s="17">
        <f t="shared" si="6"/>
        <v>7756462.1400190014</v>
      </c>
      <c r="M27" s="17">
        <f t="shared" si="6"/>
        <v>8133545.2901613489</v>
      </c>
      <c r="N27" s="17">
        <f t="shared" si="6"/>
        <v>8328535.2086252086</v>
      </c>
      <c r="O27" s="17">
        <f t="shared" si="6"/>
        <v>8627934.6731564626</v>
      </c>
      <c r="P27" s="17">
        <f t="shared" si="6"/>
        <v>8885479.0568226334</v>
      </c>
      <c r="Q27" s="96">
        <f t="shared" si="6"/>
        <v>9257891.9625419192</v>
      </c>
      <c r="R27" s="96">
        <f t="shared" si="6"/>
        <v>5974008.807380761</v>
      </c>
      <c r="S27" s="17">
        <f t="shared" si="6"/>
        <v>6288939.2831282225</v>
      </c>
      <c r="T27" s="17">
        <f t="shared" si="6"/>
        <v>6551806.8386282418</v>
      </c>
      <c r="U27" s="17">
        <f t="shared" si="6"/>
        <v>6934225.6103815567</v>
      </c>
      <c r="V27" s="17">
        <f t="shared" si="6"/>
        <v>7161115.8033985225</v>
      </c>
      <c r="W27" s="17">
        <f t="shared" si="6"/>
        <v>7496321.9849966634</v>
      </c>
      <c r="X27" s="17">
        <f t="shared" si="6"/>
        <v>7771670.5687564313</v>
      </c>
      <c r="Y27" s="17">
        <f t="shared" si="6"/>
        <v>8165498.7657821095</v>
      </c>
    </row>
    <row r="28" spans="2:25" ht="7.5" customHeight="1" x14ac:dyDescent="0.3">
      <c r="F28" s="22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96"/>
      <c r="R28" s="96"/>
      <c r="S28" s="17"/>
      <c r="T28" s="17"/>
      <c r="U28" s="17"/>
      <c r="V28" s="17"/>
      <c r="W28" s="17"/>
      <c r="X28" s="17"/>
      <c r="Y28" s="17"/>
    </row>
    <row r="29" spans="2:25" ht="14.5" thickBot="1" x14ac:dyDescent="0.35">
      <c r="B29" s="31" t="s">
        <v>149</v>
      </c>
      <c r="F29" s="27">
        <v>9099288.0077014267</v>
      </c>
      <c r="G29" s="30">
        <f>G22+G27</f>
        <v>9298142.5656296499</v>
      </c>
      <c r="H29" s="30">
        <f t="shared" ref="H29:Y29" si="7">H22+H27</f>
        <v>9362154.8518038634</v>
      </c>
      <c r="I29" s="30">
        <f t="shared" si="7"/>
        <v>9687902.15652862</v>
      </c>
      <c r="J29" s="30">
        <f t="shared" si="7"/>
        <v>9813392.702989826</v>
      </c>
      <c r="K29" s="30">
        <f t="shared" si="7"/>
        <v>10293678.498565689</v>
      </c>
      <c r="L29" s="30">
        <f t="shared" si="7"/>
        <v>10408041.063296098</v>
      </c>
      <c r="M29" s="30">
        <f t="shared" si="7"/>
        <v>10800170.035939097</v>
      </c>
      <c r="N29" s="30">
        <f t="shared" si="7"/>
        <v>10997138.461067101</v>
      </c>
      <c r="O29" s="30">
        <f t="shared" si="7"/>
        <v>11391389.978968982</v>
      </c>
      <c r="P29" s="30">
        <f t="shared" si="7"/>
        <v>11577815.749502763</v>
      </c>
      <c r="Q29" s="124">
        <f t="shared" si="7"/>
        <v>11966724.376971452</v>
      </c>
      <c r="R29" s="124">
        <f t="shared" si="7"/>
        <v>12180965.827008046</v>
      </c>
      <c r="S29" s="30">
        <f t="shared" si="7"/>
        <v>12611812.553666081</v>
      </c>
      <c r="T29" s="30">
        <f t="shared" si="7"/>
        <v>12780855.743789308</v>
      </c>
      <c r="U29" s="30">
        <f t="shared" si="7"/>
        <v>13180601.969776765</v>
      </c>
      <c r="V29" s="30">
        <f t="shared" si="7"/>
        <v>13410869.467293508</v>
      </c>
      <c r="W29" s="30">
        <f t="shared" si="7"/>
        <v>14006762.359985745</v>
      </c>
      <c r="X29" s="30">
        <f t="shared" si="7"/>
        <v>14136658.068471175</v>
      </c>
      <c r="Y29" s="30">
        <f t="shared" si="7"/>
        <v>14524603.131446242</v>
      </c>
    </row>
    <row r="30" spans="2:25" ht="14.5" thickTop="1" x14ac:dyDescent="0.3"/>
    <row r="31" spans="2:25" x14ac:dyDescent="0.3">
      <c r="E31" s="13" t="s">
        <v>150</v>
      </c>
      <c r="F31" s="16">
        <f>F7+F8+F9-F18</f>
        <v>1071610.5042812719</v>
      </c>
      <c r="G31" s="16">
        <f t="shared" ref="G31:Y31" si="8">G7+G8+G9-G18</f>
        <v>1188098.1552030889</v>
      </c>
      <c r="H31" s="16">
        <f t="shared" si="8"/>
        <v>1168966.9519367816</v>
      </c>
      <c r="I31" s="16">
        <f t="shared" si="8"/>
        <v>1301697.2686869516</v>
      </c>
      <c r="J31" s="16">
        <f t="shared" si="8"/>
        <v>1283526.6502185846</v>
      </c>
      <c r="K31" s="16">
        <f t="shared" si="8"/>
        <v>1408399.058081242</v>
      </c>
      <c r="L31" s="16">
        <f t="shared" si="8"/>
        <v>1385166.2388142408</v>
      </c>
      <c r="M31" s="16">
        <f t="shared" si="8"/>
        <v>1530171.0888612266</v>
      </c>
      <c r="N31" s="16">
        <f t="shared" si="8"/>
        <v>1499546.9030682943</v>
      </c>
      <c r="O31" s="16">
        <f t="shared" si="8"/>
        <v>1639813.6054647171</v>
      </c>
      <c r="P31" s="16">
        <f t="shared" si="8"/>
        <v>1613275.1184214603</v>
      </c>
      <c r="Q31" s="16">
        <f t="shared" si="8"/>
        <v>1767687.7309049354</v>
      </c>
      <c r="R31" s="16">
        <f t="shared" si="8"/>
        <v>1724081.000307407</v>
      </c>
      <c r="S31" s="16">
        <f t="shared" si="8"/>
        <v>1871678.8680430162</v>
      </c>
      <c r="T31" s="16">
        <f t="shared" si="8"/>
        <v>1843419.5255709062</v>
      </c>
      <c r="U31" s="16">
        <f t="shared" si="8"/>
        <v>2005054.0861242292</v>
      </c>
      <c r="V31" s="16">
        <f t="shared" si="8"/>
        <v>1949158.7997735066</v>
      </c>
      <c r="W31" s="16">
        <f t="shared" si="8"/>
        <v>2098086.0020852964</v>
      </c>
      <c r="X31" s="16">
        <f t="shared" si="8"/>
        <v>2065984.5583525514</v>
      </c>
      <c r="Y31" s="16">
        <f t="shared" si="8"/>
        <v>2227778.3032063837</v>
      </c>
    </row>
    <row r="32" spans="2:25" x14ac:dyDescent="0.3"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spans="6:25" x14ac:dyDescent="0.3"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6:25" x14ac:dyDescent="0.3"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96"/>
      <c r="R34" s="96"/>
      <c r="S34" s="17"/>
      <c r="T34" s="17"/>
      <c r="U34" s="17"/>
      <c r="V34" s="17"/>
      <c r="W34" s="17"/>
      <c r="X34" s="17"/>
      <c r="Y34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B2:W29"/>
  <sheetViews>
    <sheetView showGridLines="0" zoomScale="71" workbookViewId="0">
      <pane xSplit="4" ySplit="3" topLeftCell="E4" activePane="bottomRight" state="frozen"/>
      <selection pane="topRight" activeCell="E1" sqref="E1"/>
      <selection pane="bottomLeft" activeCell="A5" sqref="A5"/>
      <selection pane="bottomRight" activeCell="P19" sqref="P19"/>
    </sheetView>
  </sheetViews>
  <sheetFormatPr defaultColWidth="9.1796875" defaultRowHeight="14" x14ac:dyDescent="0.3"/>
  <cols>
    <col min="1" max="3" width="1.453125" style="13" customWidth="1"/>
    <col min="4" max="4" width="36.1796875" style="13" customWidth="1"/>
    <col min="5" max="6" width="12.26953125" style="13" bestFit="1" customWidth="1"/>
    <col min="7" max="23" width="13.26953125" style="13" bestFit="1" customWidth="1"/>
    <col min="24" max="16384" width="9.1796875" style="13"/>
  </cols>
  <sheetData>
    <row r="2" spans="2:23" x14ac:dyDescent="0.3">
      <c r="E2" s="83" t="s">
        <v>97</v>
      </c>
      <c r="F2" s="83" t="s">
        <v>97</v>
      </c>
      <c r="G2" s="83" t="s">
        <v>97</v>
      </c>
      <c r="H2" s="83" t="s">
        <v>97</v>
      </c>
      <c r="I2" s="83" t="s">
        <v>97</v>
      </c>
      <c r="J2" s="83" t="s">
        <v>97</v>
      </c>
      <c r="K2" s="83" t="s">
        <v>97</v>
      </c>
      <c r="L2" s="83" t="s">
        <v>97</v>
      </c>
      <c r="M2" s="83" t="s">
        <v>97</v>
      </c>
      <c r="N2" s="83" t="s">
        <v>97</v>
      </c>
      <c r="O2" s="83" t="s">
        <v>97</v>
      </c>
      <c r="P2" s="83" t="s">
        <v>97</v>
      </c>
      <c r="Q2" s="83" t="s">
        <v>97</v>
      </c>
      <c r="R2" s="83" t="s">
        <v>97</v>
      </c>
      <c r="S2" s="83" t="s">
        <v>97</v>
      </c>
      <c r="T2" s="83" t="s">
        <v>97</v>
      </c>
      <c r="U2" s="83" t="s">
        <v>97</v>
      </c>
      <c r="V2" s="83" t="s">
        <v>97</v>
      </c>
      <c r="W2" s="83" t="s">
        <v>97</v>
      </c>
    </row>
    <row r="3" spans="2:23" x14ac:dyDescent="0.3">
      <c r="B3" s="23" t="s">
        <v>151</v>
      </c>
      <c r="E3" s="83" t="s">
        <v>2</v>
      </c>
      <c r="F3" s="83" t="s">
        <v>3</v>
      </c>
      <c r="G3" s="83" t="s">
        <v>4</v>
      </c>
      <c r="H3" s="83" t="s">
        <v>5</v>
      </c>
      <c r="I3" s="83" t="s">
        <v>6</v>
      </c>
      <c r="J3" s="83" t="s">
        <v>7</v>
      </c>
      <c r="K3" s="83" t="s">
        <v>8</v>
      </c>
      <c r="L3" s="83" t="s">
        <v>9</v>
      </c>
      <c r="M3" s="83" t="s">
        <v>10</v>
      </c>
      <c r="N3" s="83" t="s">
        <v>11</v>
      </c>
      <c r="O3" s="83" t="s">
        <v>12</v>
      </c>
      <c r="P3" s="83" t="s">
        <v>13</v>
      </c>
      <c r="Q3" s="83" t="s">
        <v>14</v>
      </c>
      <c r="R3" s="83" t="s">
        <v>15</v>
      </c>
      <c r="S3" s="83" t="s">
        <v>16</v>
      </c>
      <c r="T3" s="83" t="s">
        <v>17</v>
      </c>
      <c r="U3" s="83" t="s">
        <v>18</v>
      </c>
      <c r="V3" s="83" t="s">
        <v>19</v>
      </c>
      <c r="W3" s="83" t="s">
        <v>20</v>
      </c>
    </row>
    <row r="4" spans="2:23" x14ac:dyDescent="0.3">
      <c r="C4" s="31" t="s">
        <v>152</v>
      </c>
    </row>
    <row r="5" spans="2:23" x14ac:dyDescent="0.3">
      <c r="D5" s="31" t="s">
        <v>153</v>
      </c>
      <c r="E5" s="17">
        <f>'Consolidated P&amp;L'!H19</f>
        <v>192912.04438043476</v>
      </c>
      <c r="F5" s="17">
        <f>'Consolidated P&amp;L'!I19</f>
        <v>163416.15990350911</v>
      </c>
      <c r="G5" s="17">
        <f>'Consolidated P&amp;L'!J19</f>
        <v>255305.540613633</v>
      </c>
      <c r="H5" s="17">
        <f>'Consolidated P&amp;L'!K19</f>
        <v>260212.78676134598</v>
      </c>
      <c r="I5" s="17">
        <f>'Consolidated P&amp;L'!L19</f>
        <v>355357.35781271732</v>
      </c>
      <c r="J5" s="17">
        <f>'Consolidated P&amp;L'!M19</f>
        <v>317917.14478307322</v>
      </c>
      <c r="K5" s="17">
        <f>'Consolidated P&amp;L'!N19</f>
        <v>427083.15014234709</v>
      </c>
      <c r="L5" s="17">
        <f>'Consolidated P&amp;L'!O19</f>
        <v>394989.91846385924</v>
      </c>
      <c r="M5" s="17">
        <f>'Consolidated P&amp;L'!P19</f>
        <v>499399.46453125559</v>
      </c>
      <c r="N5" s="17">
        <f>'Consolidated P&amp;L'!Q19</f>
        <v>457544.38366617012</v>
      </c>
      <c r="O5" s="17">
        <f>'Consolidated P&amp;L'!R19</f>
        <v>572412.90571928606</v>
      </c>
      <c r="P5" s="17">
        <f>'Consolidated P&amp;L'!S19</f>
        <v>516116.84483884065</v>
      </c>
      <c r="Q5" s="17">
        <f>'Consolidated P&amp;L'!T19</f>
        <v>594930.47574746085</v>
      </c>
      <c r="R5" s="17">
        <f>'Consolidated P&amp;L'!U19</f>
        <v>542867.55550001957</v>
      </c>
      <c r="S5" s="17">
        <f>'Consolidated P&amp;L'!V19</f>
        <v>662418.77175331523</v>
      </c>
      <c r="T5" s="17">
        <f>'Consolidated P&amp;L'!W19</f>
        <v>606890.19301696611</v>
      </c>
      <c r="U5" s="17">
        <f>'Consolidated P&amp;L'!X19</f>
        <v>715206.18159814051</v>
      </c>
      <c r="V5" s="17">
        <f>'Consolidated P&amp;L'!Y19</f>
        <v>655348.58375976817</v>
      </c>
      <c r="W5" s="17">
        <f>'Consolidated P&amp;L'!Z19</f>
        <v>773828.19702567789</v>
      </c>
    </row>
    <row r="6" spans="2:23" x14ac:dyDescent="0.3">
      <c r="C6" s="31" t="s">
        <v>154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spans="2:23" x14ac:dyDescent="0.3">
      <c r="D7" s="31" t="s">
        <v>155</v>
      </c>
      <c r="E7" s="17">
        <f>'Consolidated P&amp;L'!H10*(-1)</f>
        <v>147872.20644593667</v>
      </c>
      <c r="F7" s="17">
        <f>'Consolidated P&amp;L'!I10*(-1)</f>
        <v>149304.34577094522</v>
      </c>
      <c r="G7" s="17">
        <f>'Consolidated P&amp;L'!J10*(-1)</f>
        <v>150766.89304174809</v>
      </c>
      <c r="H7" s="17">
        <f>'Consolidated P&amp;L'!K10*(-1)</f>
        <v>155966.88072397743</v>
      </c>
      <c r="I7" s="17">
        <f>'Consolidated P&amp;L'!L10*(-1)</f>
        <v>157560.81905753395</v>
      </c>
      <c r="J7" s="17">
        <f>'Consolidated P&amp;L'!M10*(-1)</f>
        <v>164217.42970133643</v>
      </c>
      <c r="K7" s="17">
        <f>'Consolidated P&amp;L'!N10*(-1)</f>
        <v>166080.94956064469</v>
      </c>
      <c r="L7" s="17">
        <f>'Consolidated P&amp;L'!O10*(-1)</f>
        <v>171655.9410764529</v>
      </c>
      <c r="M7" s="17">
        <f>'Consolidated P&amp;L'!P10*(-1)</f>
        <v>173668.67425001002</v>
      </c>
      <c r="N7" s="17">
        <f>'Consolidated P&amp;L'!Q10*(-1)</f>
        <v>180686.06852255753</v>
      </c>
      <c r="O7" s="17">
        <f>'Consolidated P&amp;L'!R10*(-1)</f>
        <v>182874.21379917872</v>
      </c>
      <c r="P7" s="17">
        <f>'Consolidated P&amp;L'!S10*(-1)</f>
        <v>186885.44425639889</v>
      </c>
      <c r="Q7" s="17">
        <f>'Consolidated P&amp;L'!T10*(-1)</f>
        <v>189328.93506915218</v>
      </c>
      <c r="R7" s="17">
        <f>'Consolidated P&amp;L'!U10*(-1)</f>
        <v>198442.31690496532</v>
      </c>
      <c r="S7" s="17">
        <f>'Consolidated P&amp;L'!V10*(-1)</f>
        <v>201087.13338095433</v>
      </c>
      <c r="T7" s="17">
        <f>'Consolidated P&amp;L'!W10*(-1)</f>
        <v>205553.47495125007</v>
      </c>
      <c r="U7" s="17">
        <f>'Consolidated P&amp;L'!X10*(-1)</f>
        <v>208297.82868943043</v>
      </c>
      <c r="V7" s="17">
        <f>'Consolidated P&amp;L'!Y10*(-1)</f>
        <v>219377.78492882859</v>
      </c>
      <c r="W7" s="17">
        <f>'Consolidated P&amp;L'!Z10*(-1)</f>
        <v>222342.90678170702</v>
      </c>
    </row>
    <row r="8" spans="2:23" x14ac:dyDescent="0.3">
      <c r="D8" s="31" t="s">
        <v>156</v>
      </c>
      <c r="E8" s="17">
        <f>-('Consolidated BS'!G9-'Consolidated BS'!F9)</f>
        <v>-69700.456242264831</v>
      </c>
      <c r="F8" s="17">
        <f>-('Consolidated BS'!H9-'Consolidated BS'!G9)</f>
        <v>7192.3437122863834</v>
      </c>
      <c r="G8" s="17">
        <f>-('Consolidated BS'!I9-'Consolidated BS'!H9)</f>
        <v>-78955.356923652114</v>
      </c>
      <c r="H8" s="17">
        <f>-('Consolidated BS'!J9-'Consolidated BS'!I9)</f>
        <v>-4800.5101861001458</v>
      </c>
      <c r="I8" s="17">
        <f>-('Consolidated BS'!K9-'Consolidated BS'!J9)</f>
        <v>-80956.515359258745</v>
      </c>
      <c r="J8" s="17">
        <f>-('Consolidated BS'!L9-'Consolidated BS'!K9)</f>
        <v>8625.77184393059</v>
      </c>
      <c r="K8" s="17">
        <f>-('Consolidated BS'!M9-'Consolidated BS'!L9)</f>
        <v>-91912.374750119401</v>
      </c>
      <c r="L8" s="17">
        <f>-('Consolidated BS'!N9-'Consolidated BS'!M9)</f>
        <v>12515.177108117263</v>
      </c>
      <c r="M8" s="17">
        <f>-('Consolidated BS'!O9-'Consolidated BS'!N9)</f>
        <v>-90568.23593666777</v>
      </c>
      <c r="N8" s="17">
        <f>-('Consolidated BS'!P9-'Consolidated BS'!O9)</f>
        <v>10940.742747409851</v>
      </c>
      <c r="O8" s="17">
        <f>-('Consolidated BS'!Q9-'Consolidated BS'!P9)</f>
        <v>-97829.228186154622</v>
      </c>
      <c r="P8" s="17">
        <f>-('Consolidated BS'!R9-'Consolidated BS'!Q9)</f>
        <v>23746.851064241724</v>
      </c>
      <c r="Q8" s="17">
        <f>-('Consolidated BS'!S9-'Consolidated BS'!R9)</f>
        <v>-95018.071455097524</v>
      </c>
      <c r="R8" s="17">
        <f>-('Consolidated BS'!T9-'Consolidated BS'!S9)</f>
        <v>15374.044677840546</v>
      </c>
      <c r="S8" s="17">
        <f>-('Consolidated BS'!U9-'Consolidated BS'!T9)</f>
        <v>-102419.3921175017</v>
      </c>
      <c r="T8" s="17">
        <f>-('Consolidated BS'!V9-'Consolidated BS'!U9)</f>
        <v>33358.499197814148</v>
      </c>
      <c r="U8" s="17">
        <f>-('Consolidated BS'!W9-'Consolidated BS'!V9)</f>
        <v>-94923.784745411249</v>
      </c>
      <c r="V8" s="17">
        <f>-('Consolidated BS'!X9-'Consolidated BS'!W9)</f>
        <v>18691.0993361047</v>
      </c>
      <c r="W8" s="17">
        <f>-('Consolidated BS'!Y9-'Consolidated BS'!X9)</f>
        <v>-101879.75440762751</v>
      </c>
    </row>
    <row r="9" spans="2:23" x14ac:dyDescent="0.3">
      <c r="D9" s="31" t="s">
        <v>111</v>
      </c>
      <c r="E9" s="17">
        <f>-('Consolidated BS'!G8-'Consolidated BS'!F8)</f>
        <v>-24679.020273972608</v>
      </c>
      <c r="F9" s="17">
        <f>-('Consolidated BS'!H8-'Consolidated BS'!G8)</f>
        <v>14942.485479452065</v>
      </c>
      <c r="G9" s="17">
        <f>-('Consolidated BS'!I8-'Consolidated BS'!H8)</f>
        <v>-29483.972054794518</v>
      </c>
      <c r="H9" s="17">
        <f>-('Consolidated BS'!J8-'Consolidated BS'!I8)</f>
        <v>24901.810958904112</v>
      </c>
      <c r="I9" s="17">
        <f>-('Consolidated BS'!K8-'Consolidated BS'!J8)</f>
        <v>-24809.343561643836</v>
      </c>
      <c r="J9" s="17">
        <f>-('Consolidated BS'!L8-'Consolidated BS'!K8)</f>
        <v>17716.991999999969</v>
      </c>
      <c r="K9" s="17">
        <f>-('Consolidated BS'!M8-'Consolidated BS'!L8)</f>
        <v>-31096.331999999966</v>
      </c>
      <c r="L9" s="17">
        <f>-('Consolidated BS'!N8-'Consolidated BS'!M8)</f>
        <v>26856.440799999968</v>
      </c>
      <c r="M9" s="17">
        <f>-('Consolidated BS'!O8-'Consolidated BS'!N8)</f>
        <v>-27901.793679999988</v>
      </c>
      <c r="N9" s="17">
        <f>-('Consolidated BS'!P8-'Consolidated BS'!O8)</f>
        <v>20743.536239999987</v>
      </c>
      <c r="O9" s="17">
        <f>-('Consolidated BS'!Q8-'Consolidated BS'!P8)</f>
        <v>-32344.730910000013</v>
      </c>
      <c r="P9" s="17">
        <f>-('Consolidated BS'!R8-'Consolidated BS'!Q8)</f>
        <v>33882.250491369865</v>
      </c>
      <c r="Q9" s="17">
        <f>-('Consolidated BS'!S8-'Consolidated BS'!R8)</f>
        <v>-27574.179390246543</v>
      </c>
      <c r="R9" s="17">
        <f>-('Consolidated BS'!T8-'Consolidated BS'!S8)</f>
        <v>22766.081314191775</v>
      </c>
      <c r="S9" s="17">
        <f>-('Consolidated BS'!U8-'Consolidated BS'!T8)</f>
        <v>-31471.690210520552</v>
      </c>
      <c r="T9" s="17">
        <f>-('Consolidated BS'!V8-'Consolidated BS'!U8)</f>
        <v>30836.020404230105</v>
      </c>
      <c r="U9" s="17">
        <f>-('Consolidated BS'!W8-'Consolidated BS'!V8)</f>
        <v>-27040.462801367627</v>
      </c>
      <c r="V9" s="17">
        <f>-('Consolidated BS'!X8-'Consolidated BS'!W8)</f>
        <v>24858.086704964342</v>
      </c>
      <c r="W9" s="17">
        <f>-('Consolidated BS'!Y8-'Consolidated BS'!X8)</f>
        <v>-30377.384161278896</v>
      </c>
    </row>
    <row r="10" spans="2:23" ht="15.5" x14ac:dyDescent="0.45">
      <c r="D10" s="31" t="s">
        <v>157</v>
      </c>
      <c r="E10" s="25">
        <f>'Consolidated BS'!G18-'Consolidated BS'!F18</f>
        <v>4358.4712859002757</v>
      </c>
      <c r="F10" s="25">
        <f>'Consolidated BS'!H18-'Consolidated BS'!G18</f>
        <v>5447.0411950837442</v>
      </c>
      <c r="G10" s="25">
        <f>'Consolidated BS'!I18-'Consolidated BS'!H18</f>
        <v>6608.4371225106152</v>
      </c>
      <c r="H10" s="25">
        <f>'Consolidated BS'!J18-'Consolidated BS'!I18</f>
        <v>9443.854742297437</v>
      </c>
      <c r="I10" s="25">
        <f>'Consolidated BS'!K18-'Consolidated BS'!J18</f>
        <v>13378.026829822105</v>
      </c>
      <c r="J10" s="25">
        <f>'Consolidated BS'!L18-'Consolidated BS'!K18</f>
        <v>7995.8308806602145</v>
      </c>
      <c r="K10" s="25">
        <f>'Consolidated BS'!M18-'Consolidated BS'!L18</f>
        <v>15045.822500652343</v>
      </c>
      <c r="L10" s="25">
        <f>'Consolidated BS'!N18-'Consolidated BS'!M18</f>
        <v>1978.5066641430894</v>
      </c>
      <c r="M10" s="25">
        <f>'Consolidated BS'!O18-'Consolidated BS'!N18</f>
        <v>15796.87366926769</v>
      </c>
      <c r="N10" s="25">
        <f>'Consolidated BS'!P18-'Consolidated BS'!O18</f>
        <v>7936.5665689711168</v>
      </c>
      <c r="O10" s="25">
        <f>'Consolidated BS'!Q18-'Consolidated BS'!P18</f>
        <v>16495.721749401942</v>
      </c>
      <c r="P10" s="25">
        <f>'Consolidated BS'!R18-'Consolidated BS'!Q18</f>
        <v>-1875.3948022468248</v>
      </c>
      <c r="Q10" s="25">
        <f>'Consolidated BS'!S18-'Consolidated BS'!R18</f>
        <v>16786.609415516956</v>
      </c>
      <c r="R10" s="25">
        <f>'Consolidated BS'!T18-'Consolidated BS'!S18</f>
        <v>5305.2761182627873</v>
      </c>
      <c r="S10" s="25">
        <f>'Consolidated BS'!U18-'Consolidated BS'!T18</f>
        <v>17327.454234142497</v>
      </c>
      <c r="T10" s="25">
        <f>'Consolidated BS'!V18-'Consolidated BS'!U18</f>
        <v>3377.3044997771794</v>
      </c>
      <c r="U10" s="25">
        <f>'Consolidated BS'!W18-'Consolidated BS'!V18</f>
        <v>16991.845463899459</v>
      </c>
      <c r="V10" s="25">
        <f>'Consolidated BS'!X18-'Consolidated BS'!W18</f>
        <v>5214.1823144230293</v>
      </c>
      <c r="W10" s="25">
        <f>'Consolidated BS'!Y18-'Consolidated BS'!X18</f>
        <v>17643.035837028758</v>
      </c>
    </row>
    <row r="11" spans="2:23" x14ac:dyDescent="0.3">
      <c r="C11" s="31" t="s">
        <v>158</v>
      </c>
      <c r="E11" s="17">
        <f>E5+E7+E8+E9+E10</f>
        <v>250763.24559603428</v>
      </c>
      <c r="F11" s="17">
        <f t="shared" ref="F11:W11" si="0">F5+F7+F8+F9+F10</f>
        <v>340302.37606127653</v>
      </c>
      <c r="G11" s="17">
        <f t="shared" si="0"/>
        <v>304241.54179944505</v>
      </c>
      <c r="H11" s="17">
        <f t="shared" si="0"/>
        <v>445724.82300042477</v>
      </c>
      <c r="I11" s="17">
        <f t="shared" si="0"/>
        <v>420530.34477917082</v>
      </c>
      <c r="J11" s="17">
        <f t="shared" si="0"/>
        <v>516473.16920900042</v>
      </c>
      <c r="K11" s="17">
        <f t="shared" si="0"/>
        <v>485201.21545352478</v>
      </c>
      <c r="L11" s="17">
        <f t="shared" si="0"/>
        <v>607995.98411257239</v>
      </c>
      <c r="M11" s="17">
        <f t="shared" si="0"/>
        <v>570394.98283386556</v>
      </c>
      <c r="N11" s="17">
        <f t="shared" si="0"/>
        <v>677851.2977451086</v>
      </c>
      <c r="O11" s="17">
        <f t="shared" si="0"/>
        <v>641608.88217171212</v>
      </c>
      <c r="P11" s="17">
        <f t="shared" si="0"/>
        <v>758755.99584860425</v>
      </c>
      <c r="Q11" s="17">
        <f t="shared" si="0"/>
        <v>678453.76938678592</v>
      </c>
      <c r="R11" s="17">
        <f t="shared" si="0"/>
        <v>784755.27451528003</v>
      </c>
      <c r="S11" s="17">
        <f t="shared" si="0"/>
        <v>746942.27704038983</v>
      </c>
      <c r="T11" s="17">
        <f t="shared" si="0"/>
        <v>880015.49207003752</v>
      </c>
      <c r="U11" s="17">
        <f t="shared" si="0"/>
        <v>818531.60820469155</v>
      </c>
      <c r="V11" s="17">
        <f t="shared" si="0"/>
        <v>923489.73704408889</v>
      </c>
      <c r="W11" s="17">
        <f t="shared" si="0"/>
        <v>881557.00107550726</v>
      </c>
    </row>
    <row r="12" spans="2:23" x14ac:dyDescent="0.3"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2:23" x14ac:dyDescent="0.3">
      <c r="C13" s="31" t="s">
        <v>159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pans="2:23" ht="15.5" x14ac:dyDescent="0.45">
      <c r="D14" s="31" t="s">
        <v>160</v>
      </c>
      <c r="E14" s="25">
        <f>-('Consolidated BS'!G12-'Consolidated BS'!F12)+'Consolidated P&amp;L'!H10</f>
        <v>-225880.64216644279</v>
      </c>
      <c r="F14" s="25">
        <f>-('Consolidated BS'!H12-'Consolidated BS'!G12)+'Consolidated P&amp;L'!I10</f>
        <v>-227000.7940163821</v>
      </c>
      <c r="G14" s="25">
        <f>-('Consolidated BS'!I12-'Consolidated BS'!H12)+'Consolidated P&amp;L'!J10</f>
        <v>-337175.44389382331</v>
      </c>
      <c r="H14" s="25">
        <f>-('Consolidated BS'!J12-'Consolidated BS'!I12)+'Consolidated P&amp;L'!K10</f>
        <v>-242648.64330649</v>
      </c>
      <c r="I14" s="25">
        <f>-('Consolidated BS'!K12-'Consolidated BS'!J12)+'Consolidated P&amp;L'!L10</f>
        <v>-547131.72754568094</v>
      </c>
      <c r="J14" s="25">
        <f>-('Consolidated BS'!L12-'Consolidated BS'!K12)+'Consolidated P&amp;L'!M10</f>
        <v>-263897.8857943404</v>
      </c>
      <c r="K14" s="25">
        <f>-('Consolidated BS'!M12-'Consolidated BS'!L12)+'Consolidated P&amp;L'!N10</f>
        <v>-373107.33226918115</v>
      </c>
      <c r="L14" s="25">
        <f>-('Consolidated BS'!N12-'Consolidated BS'!M12)+'Consolidated P&amp;L'!O10</f>
        <v>-281079.71843030216</v>
      </c>
      <c r="M14" s="25">
        <f>-('Consolidated BS'!O12-'Consolidated BS'!N12)+'Consolidated P&amp;L'!P10</f>
        <v>-583017.95739971439</v>
      </c>
      <c r="N14" s="25">
        <f>-('Consolidated BS'!P12-'Consolidated BS'!O12)+'Consolidated P&amp;L'!Q10</f>
        <v>-298276.11694266822</v>
      </c>
      <c r="O14" s="25">
        <f>-('Consolidated BS'!Q12-'Consolidated BS'!P12)+'Consolidated P&amp;L'!R10</f>
        <v>-352332.12378862139</v>
      </c>
      <c r="P14" s="25">
        <f>-('Consolidated BS'!R12-'Consolidated BS'!Q12)+'Consolidated P&amp;L'!S10</f>
        <v>-318044.9984730017</v>
      </c>
      <c r="Q14" s="25">
        <f>-('Consolidated BS'!S12-'Consolidated BS'!R12)+'Consolidated P&amp;L'!T10</f>
        <v>-720335.23163015116</v>
      </c>
      <c r="R14" s="25">
        <f>-('Consolidated BS'!T12-'Consolidated BS'!S12)+'Consolidated P&amp;L'!U10</f>
        <v>-339050.20997446356</v>
      </c>
      <c r="S14" s="25">
        <f>-('Consolidated BS'!U12-'Consolidated BS'!T12)+'Consolidated P&amp;L'!V10</f>
        <v>-393478.43374133593</v>
      </c>
      <c r="T14" s="25">
        <f>-('Consolidated BS'!V12-'Consolidated BS'!U12)+'Consolidated P&amp;L'!W10</f>
        <v>-351927.78594126884</v>
      </c>
      <c r="U14" s="25">
        <f>-('Consolidated BS'!W12-'Consolidated BS'!V12)+'Consolidated P&amp;L'!X10</f>
        <v>-854465.11623083474</v>
      </c>
      <c r="V14" s="25">
        <f>-('Consolidated BS'!X12-'Consolidated BS'!W12)+'Consolidated P&amp;L'!Y10</f>
        <v>-376160.75483257894</v>
      </c>
      <c r="W14" s="25">
        <f>-('Consolidated BS'!Y12-'Consolidated BS'!X12)+'Consolidated P&amp;L'!Z10</f>
        <v>-430851.18906591466</v>
      </c>
    </row>
    <row r="15" spans="2:23" x14ac:dyDescent="0.3">
      <c r="C15" s="31" t="s">
        <v>161</v>
      </c>
      <c r="E15" s="17">
        <f>E14</f>
        <v>-225880.64216644279</v>
      </c>
      <c r="F15" s="17">
        <f t="shared" ref="F15:W15" si="1">F14</f>
        <v>-227000.7940163821</v>
      </c>
      <c r="G15" s="17">
        <f t="shared" si="1"/>
        <v>-337175.44389382331</v>
      </c>
      <c r="H15" s="17">
        <f t="shared" si="1"/>
        <v>-242648.64330649</v>
      </c>
      <c r="I15" s="17">
        <f t="shared" si="1"/>
        <v>-547131.72754568094</v>
      </c>
      <c r="J15" s="17">
        <f t="shared" si="1"/>
        <v>-263897.8857943404</v>
      </c>
      <c r="K15" s="17">
        <f t="shared" si="1"/>
        <v>-373107.33226918115</v>
      </c>
      <c r="L15" s="17">
        <f t="shared" si="1"/>
        <v>-281079.71843030216</v>
      </c>
      <c r="M15" s="17">
        <f t="shared" si="1"/>
        <v>-583017.95739971439</v>
      </c>
      <c r="N15" s="17">
        <f t="shared" si="1"/>
        <v>-298276.11694266822</v>
      </c>
      <c r="O15" s="17">
        <f t="shared" si="1"/>
        <v>-352332.12378862139</v>
      </c>
      <c r="P15" s="17">
        <f t="shared" si="1"/>
        <v>-318044.9984730017</v>
      </c>
      <c r="Q15" s="17">
        <f t="shared" si="1"/>
        <v>-720335.23163015116</v>
      </c>
      <c r="R15" s="17">
        <f t="shared" si="1"/>
        <v>-339050.20997446356</v>
      </c>
      <c r="S15" s="17">
        <f t="shared" si="1"/>
        <v>-393478.43374133593</v>
      </c>
      <c r="T15" s="17">
        <f t="shared" si="1"/>
        <v>-351927.78594126884</v>
      </c>
      <c r="U15" s="17">
        <f t="shared" si="1"/>
        <v>-854465.11623083474</v>
      </c>
      <c r="V15" s="17">
        <f t="shared" si="1"/>
        <v>-376160.75483257894</v>
      </c>
      <c r="W15" s="17">
        <f t="shared" si="1"/>
        <v>-430851.18906591466</v>
      </c>
    </row>
    <row r="16" spans="2:23" x14ac:dyDescent="0.3"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spans="3:23" x14ac:dyDescent="0.3">
      <c r="C17" s="31" t="s">
        <v>162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spans="3:23" x14ac:dyDescent="0.3">
      <c r="D18" s="31" t="s">
        <v>163</v>
      </c>
      <c r="E18" s="17">
        <f>'Consolidated BS'!G17-'Consolidated BS'!F17</f>
        <v>26584.042261888273</v>
      </c>
      <c r="F18" s="17">
        <f>'Consolidated BS'!H17-'Consolidated BS'!G17</f>
        <v>-79850.914924378973</v>
      </c>
      <c r="G18" s="17">
        <f>'Consolidated BS'!I17-'Consolidated BS'!H17</f>
        <v>88833.326988612884</v>
      </c>
      <c r="H18" s="17">
        <f>'Consolidated BS'!J17-'Consolidated BS'!I17</f>
        <v>-94166.09504243813</v>
      </c>
      <c r="I18" s="17">
        <f>'Consolidated BS'!K17-'Consolidated BS'!J17</f>
        <v>161550.41093332367</v>
      </c>
      <c r="J18" s="17">
        <f>'Consolidated BS'!L17-'Consolidated BS'!K17</f>
        <v>-161550.41093332367</v>
      </c>
      <c r="K18" s="17">
        <f>'Consolidated BS'!M17-'Consolidated BS'!L17</f>
        <v>0</v>
      </c>
      <c r="L18" s="17">
        <f>'Consolidated BS'!N17-'Consolidated BS'!M17</f>
        <v>0</v>
      </c>
      <c r="M18" s="17">
        <f>'Consolidated BS'!O17-'Consolidated BS'!N17</f>
        <v>79055.179701359011</v>
      </c>
      <c r="N18" s="17">
        <f>'Consolidated BS'!P17-'Consolidated BS'!O17</f>
        <v>-79055.179701359011</v>
      </c>
      <c r="O18" s="17">
        <f>'Consolidated BS'!Q17-'Consolidated BS'!P17</f>
        <v>0</v>
      </c>
      <c r="P18" s="17">
        <f>'Consolidated BS'!R17-'Consolidated BS'!Q17</f>
        <v>0</v>
      </c>
      <c r="Q18" s="17">
        <f>'Consolidated BS'!S17-'Consolidated BS'!R17</f>
        <v>99129.641495055053</v>
      </c>
      <c r="R18" s="17">
        <f>'Consolidated BS'!T17-'Consolidated BS'!S17</f>
        <v>-99129.641495055053</v>
      </c>
      <c r="S18" s="17">
        <f>'Consolidated BS'!U17-'Consolidated BS'!T17</f>
        <v>0</v>
      </c>
      <c r="T18" s="17">
        <f>'Consolidated BS'!V17-'Consolidated BS'!U17</f>
        <v>0</v>
      </c>
      <c r="U18" s="17">
        <f>'Consolidated BS'!W17-'Consolidated BS'!V17</f>
        <v>243694.86563019641</v>
      </c>
      <c r="V18" s="17">
        <f>'Consolidated BS'!X17-'Consolidated BS'!W17</f>
        <v>-150667.05758876167</v>
      </c>
      <c r="W18" s="17">
        <f>'Consolidated BS'!Y17-'Consolidated BS'!X17</f>
        <v>-23526.169887638651</v>
      </c>
    </row>
    <row r="19" spans="3:23" x14ac:dyDescent="0.3">
      <c r="D19" s="31" t="s">
        <v>164</v>
      </c>
      <c r="E19" s="17">
        <f>'Consolidated BS'!G25-'Consolidated BS'!F25</f>
        <v>0</v>
      </c>
      <c r="F19" s="17">
        <f>'Consolidated BS'!H25-'Consolidated BS'!G25</f>
        <v>0</v>
      </c>
      <c r="G19" s="17">
        <f>'Consolidated BS'!I25-'Consolidated BS'!H25</f>
        <v>0</v>
      </c>
      <c r="H19" s="17">
        <f>'Consolidated BS'!J25-'Consolidated BS'!I25</f>
        <v>0</v>
      </c>
      <c r="I19" s="17">
        <f>'Consolidated BS'!K25-'Consolidated BS'!J25</f>
        <v>0</v>
      </c>
      <c r="J19" s="17">
        <f>'Consolidated BS'!L25-'Consolidated BS'!K25</f>
        <v>0</v>
      </c>
      <c r="K19" s="17">
        <f>'Consolidated BS'!M25-'Consolidated BS'!L25</f>
        <v>0</v>
      </c>
      <c r="L19" s="17">
        <f>'Consolidated BS'!N25-'Consolidated BS'!M25</f>
        <v>0</v>
      </c>
      <c r="M19" s="17">
        <f>'Consolidated BS'!O25-'Consolidated BS'!N25</f>
        <v>0</v>
      </c>
      <c r="N19" s="17">
        <f>'Consolidated BS'!P25-'Consolidated BS'!O25</f>
        <v>0</v>
      </c>
      <c r="O19" s="17">
        <f>'Consolidated BS'!Q25-'Consolidated BS'!P25</f>
        <v>0</v>
      </c>
      <c r="P19" s="17">
        <f>'Consolidated BS'!R25-'Consolidated BS'!Q25</f>
        <v>-3520000</v>
      </c>
      <c r="Q19" s="17">
        <f>'Consolidated BS'!S25-'Consolidated BS'!R25</f>
        <v>0</v>
      </c>
      <c r="R19" s="17">
        <f>'Consolidated BS'!T25-'Consolidated BS'!S25</f>
        <v>0</v>
      </c>
      <c r="S19" s="17">
        <f>'Consolidated BS'!U25-'Consolidated BS'!T25</f>
        <v>0</v>
      </c>
      <c r="T19" s="17">
        <f>'Consolidated BS'!V25-'Consolidated BS'!U25</f>
        <v>0</v>
      </c>
      <c r="U19" s="17">
        <f>'Consolidated BS'!W25-'Consolidated BS'!V25</f>
        <v>0</v>
      </c>
      <c r="V19" s="17">
        <f>'Consolidated BS'!X25-'Consolidated BS'!W25</f>
        <v>0</v>
      </c>
      <c r="W19" s="17">
        <f>'Consolidated BS'!Y25-'Consolidated BS'!X25</f>
        <v>0</v>
      </c>
    </row>
    <row r="20" spans="3:23" x14ac:dyDescent="0.3">
      <c r="D20" s="31" t="s">
        <v>165</v>
      </c>
      <c r="E20" s="17">
        <f>'Consolidated BS'!G21-'Consolidated BS'!F21</f>
        <v>0</v>
      </c>
      <c r="F20" s="17">
        <f>'Consolidated BS'!H21-'Consolidated BS'!G21</f>
        <v>0</v>
      </c>
      <c r="G20" s="17">
        <f>'Consolidated BS'!I21-'Consolidated BS'!H21</f>
        <v>0</v>
      </c>
      <c r="H20" s="17">
        <f>'Consolidated BS'!J21-'Consolidated BS'!I21</f>
        <v>0</v>
      </c>
      <c r="I20" s="17">
        <f>'Consolidated BS'!K21-'Consolidated BS'!J21</f>
        <v>0</v>
      </c>
      <c r="J20" s="17">
        <f>'Consolidated BS'!L21-'Consolidated BS'!K21</f>
        <v>0</v>
      </c>
      <c r="K20" s="17">
        <f>'Consolidated BS'!M21-'Consolidated BS'!L21</f>
        <v>0</v>
      </c>
      <c r="L20" s="17">
        <f>'Consolidated BS'!N21-'Consolidated BS'!M21</f>
        <v>0</v>
      </c>
      <c r="M20" s="17">
        <f>'Consolidated BS'!O21-'Consolidated BS'!N21</f>
        <v>0</v>
      </c>
      <c r="N20" s="17">
        <f>'Consolidated BS'!P21-'Consolidated BS'!O21</f>
        <v>0</v>
      </c>
      <c r="O20" s="17">
        <f>'Consolidated BS'!Q21-'Consolidated BS'!P21</f>
        <v>0</v>
      </c>
      <c r="P20" s="17">
        <f>'Consolidated BS'!R21-'Consolidated BS'!Q21</f>
        <v>3500000</v>
      </c>
      <c r="Q20" s="17">
        <f>'Consolidated BS'!S21-'Consolidated BS'!R21</f>
        <v>0</v>
      </c>
      <c r="R20" s="17">
        <f>'Consolidated BS'!T21-'Consolidated BS'!S21</f>
        <v>0</v>
      </c>
      <c r="S20" s="17">
        <f>'Consolidated BS'!U21-'Consolidated BS'!T21</f>
        <v>0</v>
      </c>
      <c r="T20" s="17">
        <f>'Consolidated BS'!V21-'Consolidated BS'!U21</f>
        <v>0</v>
      </c>
      <c r="U20" s="17">
        <f>'Consolidated BS'!W21-'Consolidated BS'!V21</f>
        <v>0</v>
      </c>
      <c r="V20" s="17">
        <f>'Consolidated BS'!X21-'Consolidated BS'!W21</f>
        <v>0</v>
      </c>
      <c r="W20" s="17">
        <f>'Consolidated BS'!Y21-'Consolidated BS'!X21</f>
        <v>0</v>
      </c>
    </row>
    <row r="21" spans="3:23" ht="15.5" x14ac:dyDescent="0.45">
      <c r="D21" s="31" t="s">
        <v>166</v>
      </c>
      <c r="E21" s="25">
        <f>-Assumptions!F60</f>
        <v>-25000</v>
      </c>
      <c r="F21" s="25">
        <f>-Assumptions!G60</f>
        <v>-25000</v>
      </c>
      <c r="G21" s="25">
        <f>-Assumptions!H60</f>
        <v>-25000</v>
      </c>
      <c r="H21" s="25">
        <f>-Assumptions!I60</f>
        <v>-50000</v>
      </c>
      <c r="I21" s="25">
        <f>-Assumptions!J60</f>
        <v>-50000</v>
      </c>
      <c r="J21" s="25">
        <f>-Assumptions!K60</f>
        <v>-50000</v>
      </c>
      <c r="K21" s="25">
        <f>-Assumptions!L60</f>
        <v>-50000</v>
      </c>
      <c r="L21" s="25">
        <f>-Assumptions!M60</f>
        <v>-200000</v>
      </c>
      <c r="M21" s="25">
        <f>-Assumptions!N60</f>
        <v>-200000</v>
      </c>
      <c r="N21" s="25">
        <f>-Assumptions!O60</f>
        <v>-200000</v>
      </c>
      <c r="O21" s="25">
        <f>-Assumptions!P60</f>
        <v>-200000</v>
      </c>
      <c r="P21" s="25">
        <f>-Assumptions!Q60</f>
        <v>-280000</v>
      </c>
      <c r="Q21" s="25">
        <f>-Assumptions!R60</f>
        <v>-280000</v>
      </c>
      <c r="R21" s="25">
        <f>-Assumptions!S60</f>
        <v>-280000</v>
      </c>
      <c r="S21" s="25">
        <f>-Assumptions!T60</f>
        <v>-280000</v>
      </c>
      <c r="T21" s="25">
        <f>-Assumptions!U60</f>
        <v>-380000</v>
      </c>
      <c r="U21" s="25">
        <f>-Assumptions!V60</f>
        <v>-380000</v>
      </c>
      <c r="V21" s="25">
        <f>-Assumptions!W60</f>
        <v>-380000</v>
      </c>
      <c r="W21" s="25">
        <f>-Assumptions!X60</f>
        <v>-380000</v>
      </c>
    </row>
    <row r="22" spans="3:23" x14ac:dyDescent="0.3">
      <c r="C22" s="31" t="s">
        <v>167</v>
      </c>
      <c r="E22" s="17">
        <f>SUM(E18:E21)</f>
        <v>1584.0422618882731</v>
      </c>
      <c r="F22" s="17">
        <f t="shared" ref="F22:W22" si="2">F18+F19+F20+F21</f>
        <v>-104850.91492437897</v>
      </c>
      <c r="G22" s="17">
        <f t="shared" si="2"/>
        <v>63833.326988612884</v>
      </c>
      <c r="H22" s="17">
        <f t="shared" si="2"/>
        <v>-144166.09504243813</v>
      </c>
      <c r="I22" s="17">
        <f t="shared" si="2"/>
        <v>111550.41093332367</v>
      </c>
      <c r="J22" s="17">
        <f t="shared" si="2"/>
        <v>-211550.41093332367</v>
      </c>
      <c r="K22" s="17">
        <f t="shared" si="2"/>
        <v>-50000</v>
      </c>
      <c r="L22" s="17">
        <f t="shared" si="2"/>
        <v>-200000</v>
      </c>
      <c r="M22" s="17">
        <f t="shared" si="2"/>
        <v>-120944.82029864099</v>
      </c>
      <c r="N22" s="17">
        <f t="shared" si="2"/>
        <v>-279055.17970135901</v>
      </c>
      <c r="O22" s="17">
        <f t="shared" si="2"/>
        <v>-200000</v>
      </c>
      <c r="P22" s="17">
        <f t="shared" si="2"/>
        <v>-300000</v>
      </c>
      <c r="Q22" s="17">
        <f t="shared" si="2"/>
        <v>-180870.35850494495</v>
      </c>
      <c r="R22" s="17">
        <f t="shared" si="2"/>
        <v>-379129.64149505505</v>
      </c>
      <c r="S22" s="17">
        <f t="shared" si="2"/>
        <v>-280000</v>
      </c>
      <c r="T22" s="17">
        <f t="shared" si="2"/>
        <v>-380000</v>
      </c>
      <c r="U22" s="17">
        <f t="shared" si="2"/>
        <v>-136305.13436980359</v>
      </c>
      <c r="V22" s="17">
        <f t="shared" si="2"/>
        <v>-530667.05758876167</v>
      </c>
      <c r="W22" s="17">
        <f t="shared" si="2"/>
        <v>-403526.16988763865</v>
      </c>
    </row>
    <row r="23" spans="3:23" x14ac:dyDescent="0.3"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spans="3:23" x14ac:dyDescent="0.3">
      <c r="C24" s="13" t="s">
        <v>168</v>
      </c>
      <c r="E24" s="17">
        <f>E11+E15+E22</f>
        <v>26466.64569147976</v>
      </c>
      <c r="F24" s="17">
        <f t="shared" ref="F24:W24" si="3">F11+F15+F22</f>
        <v>8450.6671205154562</v>
      </c>
      <c r="G24" s="17">
        <f t="shared" si="3"/>
        <v>30899.424894234631</v>
      </c>
      <c r="H24" s="17">
        <f t="shared" si="3"/>
        <v>58910.08465149664</v>
      </c>
      <c r="I24" s="17">
        <f t="shared" si="3"/>
        <v>-15050.971833186457</v>
      </c>
      <c r="J24" s="17">
        <f t="shared" si="3"/>
        <v>41024.872481336351</v>
      </c>
      <c r="K24" s="17">
        <f t="shared" si="3"/>
        <v>62093.883184343635</v>
      </c>
      <c r="L24" s="96">
        <f t="shared" si="3"/>
        <v>126916.26568227023</v>
      </c>
      <c r="M24" s="17">
        <f t="shared" si="3"/>
        <v>-133567.79486448981</v>
      </c>
      <c r="N24" s="17">
        <f t="shared" si="3"/>
        <v>100520.00110108138</v>
      </c>
      <c r="O24" s="17">
        <f t="shared" si="3"/>
        <v>89276.758383090724</v>
      </c>
      <c r="P24" s="17">
        <f t="shared" si="3"/>
        <v>140710.99737560254</v>
      </c>
      <c r="Q24" s="96">
        <f t="shared" si="3"/>
        <v>-222751.82074831019</v>
      </c>
      <c r="R24" s="96">
        <f t="shared" si="3"/>
        <v>66575.423045761418</v>
      </c>
      <c r="S24" s="17">
        <f t="shared" si="3"/>
        <v>73463.8432990539</v>
      </c>
      <c r="T24" s="17">
        <f t="shared" si="3"/>
        <v>148087.70612876862</v>
      </c>
      <c r="U24" s="17">
        <f t="shared" si="3"/>
        <v>-172238.64239594678</v>
      </c>
      <c r="V24" s="17">
        <f t="shared" si="3"/>
        <v>16661.92462274828</v>
      </c>
      <c r="W24" s="17">
        <f t="shared" si="3"/>
        <v>47179.642121953948</v>
      </c>
    </row>
    <row r="25" spans="3:23" ht="15.5" x14ac:dyDescent="0.45">
      <c r="D25" s="13" t="s">
        <v>169</v>
      </c>
      <c r="E25" s="25">
        <f>'Consolidated BS'!F7+'Consolidated BS'!F6</f>
        <v>645409.21440072393</v>
      </c>
      <c r="F25" s="25">
        <f>'Consolidated BS'!G7+'Consolidated BS'!G6</f>
        <v>671875.86009220371</v>
      </c>
      <c r="G25" s="25">
        <f>'Consolidated BS'!H7+'Consolidated BS'!H6</f>
        <v>680326.5272127185</v>
      </c>
      <c r="H25" s="25">
        <f>'Consolidated BS'!I7+'Consolidated BS'!I6</f>
        <v>711225.95210695267</v>
      </c>
      <c r="I25" s="25">
        <f>'Consolidated BS'!J7+'Consolidated BS'!J6</f>
        <v>770136.03675844905</v>
      </c>
      <c r="J25" s="25">
        <f>'Consolidated BS'!K7+'Consolidated BS'!K6</f>
        <v>755085.06492526399</v>
      </c>
      <c r="K25" s="25">
        <f>'Consolidated BS'!L7+'Consolidated BS'!L6</f>
        <v>796109.93740659964</v>
      </c>
      <c r="L25" s="101">
        <f>'Consolidated BS'!M7+'Consolidated BS'!M6</f>
        <v>858203.82059094263</v>
      </c>
      <c r="M25" s="25">
        <f>'Consolidated BS'!N7+'Consolidated BS'!N6</f>
        <v>985120.08627321327</v>
      </c>
      <c r="N25" s="25">
        <f>'Consolidated BS'!O7+'Consolidated BS'!O6</f>
        <v>851552.29140872299</v>
      </c>
      <c r="O25" s="25">
        <f>'Consolidated BS'!P7+'Consolidated BS'!P6</f>
        <v>952072.29250980518</v>
      </c>
      <c r="P25" s="25">
        <f>'Consolidated BS'!Q7+'Consolidated BS'!Q6</f>
        <v>1041349.0508928971</v>
      </c>
      <c r="Q25" s="101">
        <f>'Consolidated BS'!R7+'Consolidated BS'!R6</f>
        <v>1182060.0482684975</v>
      </c>
      <c r="R25" s="101">
        <f>'Consolidated BS'!S7+'Consolidated BS'!S6</f>
        <v>959308.22752018808</v>
      </c>
      <c r="S25" s="25">
        <f>'Consolidated BS'!T7+'Consolidated BS'!T6</f>
        <v>1025883.6505659496</v>
      </c>
      <c r="T25" s="25">
        <f>'Consolidated BS'!U7+'Consolidated BS'!U6</f>
        <v>1099347.4938650029</v>
      </c>
      <c r="U25" s="25">
        <f>'Consolidated BS'!V7+'Consolidated BS'!V6</f>
        <v>1247435.1999937745</v>
      </c>
      <c r="V25" s="25">
        <f>'Consolidated BS'!W7+'Consolidated BS'!W6</f>
        <v>1075196.5575978258</v>
      </c>
      <c r="W25" s="25">
        <f>'Consolidated BS'!X7+'Consolidated BS'!X6</f>
        <v>1091858.4822205727</v>
      </c>
    </row>
    <row r="26" spans="3:23" x14ac:dyDescent="0.3">
      <c r="D26" s="13" t="s">
        <v>170</v>
      </c>
      <c r="E26" s="17">
        <f>SUM(E24:E25)</f>
        <v>671875.86009220371</v>
      </c>
      <c r="F26" s="17">
        <f t="shared" ref="F26:W26" si="4">SUM(F24:F25)</f>
        <v>680326.5272127192</v>
      </c>
      <c r="G26" s="17">
        <f t="shared" si="4"/>
        <v>711225.95210695313</v>
      </c>
      <c r="H26" s="17">
        <f t="shared" si="4"/>
        <v>770136.03675844928</v>
      </c>
      <c r="I26" s="17">
        <f t="shared" si="4"/>
        <v>755085.06492526259</v>
      </c>
      <c r="J26" s="17">
        <f t="shared" si="4"/>
        <v>796109.93740660034</v>
      </c>
      <c r="K26" s="17">
        <f t="shared" si="4"/>
        <v>858203.82059094333</v>
      </c>
      <c r="L26" s="96">
        <f t="shared" si="4"/>
        <v>985120.08627321292</v>
      </c>
      <c r="M26" s="17">
        <f t="shared" si="4"/>
        <v>851552.29140872345</v>
      </c>
      <c r="N26" s="17">
        <f t="shared" si="4"/>
        <v>952072.29250980436</v>
      </c>
      <c r="O26" s="17">
        <f t="shared" si="4"/>
        <v>1041349.0508928959</v>
      </c>
      <c r="P26" s="17">
        <f t="shared" si="4"/>
        <v>1182060.0482684996</v>
      </c>
      <c r="Q26" s="96">
        <f t="shared" si="4"/>
        <v>959308.22752018727</v>
      </c>
      <c r="R26" s="96">
        <f t="shared" si="4"/>
        <v>1025883.6505659495</v>
      </c>
      <c r="S26" s="17">
        <f t="shared" si="4"/>
        <v>1099347.4938650036</v>
      </c>
      <c r="T26" s="17">
        <f t="shared" si="4"/>
        <v>1247435.1999937715</v>
      </c>
      <c r="U26" s="17">
        <f t="shared" si="4"/>
        <v>1075196.5575978276</v>
      </c>
      <c r="V26" s="17">
        <f t="shared" si="4"/>
        <v>1091858.482220574</v>
      </c>
      <c r="W26" s="17">
        <f t="shared" si="4"/>
        <v>1139038.1243425265</v>
      </c>
    </row>
    <row r="27" spans="3:23" x14ac:dyDescent="0.3">
      <c r="E27" s="17"/>
      <c r="F27" s="17"/>
      <c r="G27" s="17"/>
      <c r="H27" s="17"/>
      <c r="I27" s="17"/>
      <c r="J27" s="17"/>
      <c r="K27" s="17"/>
      <c r="L27" s="96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spans="3:23" x14ac:dyDescent="0.3"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spans="3:23" x14ac:dyDescent="0.3"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89"/>
  <sheetViews>
    <sheetView showGridLines="0" zoomScale="56" zoomScaleNormal="5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9" sqref="C9"/>
    </sheetView>
  </sheetViews>
  <sheetFormatPr defaultColWidth="9.1796875" defaultRowHeight="14" x14ac:dyDescent="0.3"/>
  <cols>
    <col min="1" max="1" width="1.453125" style="13" customWidth="1"/>
    <col min="2" max="2" width="20.453125" style="13" customWidth="1"/>
    <col min="3" max="3" width="13" style="13" bestFit="1" customWidth="1"/>
    <col min="4" max="4" width="13.453125" style="13" customWidth="1"/>
    <col min="5" max="5" width="14.453125" style="13" customWidth="1"/>
    <col min="6" max="6" width="13" style="13" bestFit="1" customWidth="1"/>
    <col min="7" max="7" width="16.36328125" style="13" customWidth="1"/>
    <col min="8" max="9" width="14.6328125" style="13" customWidth="1"/>
    <col min="10" max="10" width="14" style="13" customWidth="1"/>
    <col min="11" max="11" width="14.6328125" style="13" customWidth="1"/>
    <col min="12" max="13" width="13.1796875" style="13" customWidth="1"/>
    <col min="14" max="14" width="12.54296875" style="13" customWidth="1"/>
    <col min="15" max="15" width="14" style="13" customWidth="1"/>
    <col min="16" max="16" width="14.54296875" style="13" bestFit="1" customWidth="1"/>
    <col min="17" max="17" width="15.1796875" style="13" bestFit="1" customWidth="1"/>
    <col min="18" max="18" width="15.08984375" style="13" customWidth="1"/>
    <col min="19" max="19" width="14.7265625" style="13" customWidth="1"/>
    <col min="20" max="20" width="14.1796875" style="13" customWidth="1"/>
    <col min="21" max="21" width="14" style="13" customWidth="1"/>
    <col min="22" max="22" width="18.54296875" style="13" bestFit="1" customWidth="1"/>
    <col min="23" max="23" width="18" style="13" customWidth="1"/>
    <col min="24" max="24" width="17.90625" style="13" customWidth="1"/>
    <col min="25" max="25" width="17.54296875" style="13" customWidth="1"/>
    <col min="26" max="26" width="12.453125" style="13" customWidth="1"/>
    <col min="27" max="27" width="13.453125" style="13" customWidth="1"/>
    <col min="28" max="28" width="2.7265625" style="13" customWidth="1"/>
    <col min="29" max="29" width="19.1796875" style="13" bestFit="1" customWidth="1"/>
    <col min="30" max="35" width="9.81640625" style="13" bestFit="1" customWidth="1"/>
    <col min="36" max="36" width="11.54296875" style="13" bestFit="1" customWidth="1"/>
    <col min="37" max="16384" width="9.1796875" style="13"/>
  </cols>
  <sheetData>
    <row r="1" spans="1:30" x14ac:dyDescent="0.3">
      <c r="A1" s="23" t="s">
        <v>171</v>
      </c>
    </row>
    <row r="3" spans="1:30" x14ac:dyDescent="0.3">
      <c r="C3" s="33" t="s">
        <v>1</v>
      </c>
      <c r="D3" s="33" t="s">
        <v>1</v>
      </c>
      <c r="E3" s="33" t="s">
        <v>1</v>
      </c>
      <c r="F3" s="33" t="s">
        <v>1</v>
      </c>
      <c r="G3" s="33" t="s">
        <v>1</v>
      </c>
      <c r="H3" s="33" t="s">
        <v>1</v>
      </c>
      <c r="I3" s="33" t="s">
        <v>1</v>
      </c>
      <c r="J3" s="33" t="s">
        <v>1</v>
      </c>
      <c r="K3" s="33" t="s">
        <v>1</v>
      </c>
      <c r="L3" s="33" t="s">
        <v>1</v>
      </c>
      <c r="M3" s="33" t="s">
        <v>1</v>
      </c>
      <c r="N3" s="33" t="s">
        <v>1</v>
      </c>
      <c r="O3" s="33" t="s">
        <v>1</v>
      </c>
      <c r="P3" s="33" t="s">
        <v>1</v>
      </c>
      <c r="Q3" s="33" t="s">
        <v>1</v>
      </c>
      <c r="R3" s="33" t="s">
        <v>1</v>
      </c>
      <c r="S3" s="33" t="s">
        <v>1</v>
      </c>
      <c r="T3" s="33" t="s">
        <v>1</v>
      </c>
      <c r="U3" s="33" t="s">
        <v>1</v>
      </c>
      <c r="W3" s="181" t="s">
        <v>172</v>
      </c>
      <c r="X3" s="181"/>
      <c r="Y3" s="181"/>
      <c r="Z3" s="181"/>
      <c r="AA3" s="181"/>
      <c r="AB3" s="181"/>
      <c r="AC3" s="181"/>
      <c r="AD3" s="14"/>
    </row>
    <row r="4" spans="1:30" x14ac:dyDescent="0.3">
      <c r="B4" s="15" t="s">
        <v>173</v>
      </c>
      <c r="C4" s="14" t="str">
        <f>'Consolidated SCF'!E3</f>
        <v>Q2 2018</v>
      </c>
      <c r="D4" s="14" t="str">
        <f>'Consolidated SCF'!F3</f>
        <v>Q3 2018</v>
      </c>
      <c r="E4" s="14" t="str">
        <f>'Consolidated SCF'!G3</f>
        <v>Q4 2018</v>
      </c>
      <c r="F4" s="14" t="str">
        <f>'Consolidated SCF'!H3</f>
        <v>Q1 2019</v>
      </c>
      <c r="G4" s="14" t="str">
        <f>'Consolidated SCF'!I3</f>
        <v>Q2 2019</v>
      </c>
      <c r="H4" s="14" t="str">
        <f>'Consolidated SCF'!J3</f>
        <v>Q3 2019</v>
      </c>
      <c r="I4" s="14" t="str">
        <f>'Consolidated SCF'!K3</f>
        <v>Q4 2019</v>
      </c>
      <c r="J4" s="14" t="str">
        <f>'Consolidated SCF'!L3</f>
        <v>Q1 2020</v>
      </c>
      <c r="K4" s="14" t="str">
        <f>'Consolidated SCF'!M3</f>
        <v>Q2 2020</v>
      </c>
      <c r="L4" s="14" t="str">
        <f>'Consolidated SCF'!N3</f>
        <v>Q3 2020</v>
      </c>
      <c r="M4" s="14" t="str">
        <f>'Consolidated SCF'!O3</f>
        <v>Q4 2020</v>
      </c>
      <c r="N4" s="14" t="str">
        <f>'Consolidated SCF'!P3</f>
        <v>Q1 2021</v>
      </c>
      <c r="O4" s="14" t="str">
        <f>'Consolidated SCF'!Q3</f>
        <v>Q2 2021</v>
      </c>
      <c r="P4" s="14" t="str">
        <f>'Consolidated SCF'!R3</f>
        <v>Q3 2021</v>
      </c>
      <c r="Q4" s="14" t="str">
        <f>'Consolidated SCF'!S3</f>
        <v>Q4 2021</v>
      </c>
      <c r="R4" s="14" t="str">
        <f>'Consolidated SCF'!T3</f>
        <v>Q1 2022</v>
      </c>
      <c r="S4" s="14" t="str">
        <f>'Consolidated SCF'!U3</f>
        <v>Q2 2022</v>
      </c>
      <c r="T4" s="14" t="str">
        <f>'Consolidated SCF'!V3</f>
        <v>Q3 2022</v>
      </c>
      <c r="U4" s="14" t="str">
        <f>'Consolidated SCF'!W3</f>
        <v>Q4 2022</v>
      </c>
      <c r="W4" s="34">
        <v>2018</v>
      </c>
      <c r="X4" s="34">
        <v>2019</v>
      </c>
      <c r="Y4" s="34">
        <v>2020</v>
      </c>
      <c r="Z4" s="34">
        <v>2021</v>
      </c>
      <c r="AA4" s="34">
        <v>2022</v>
      </c>
      <c r="AB4" s="14"/>
      <c r="AC4" s="157" t="s">
        <v>174</v>
      </c>
      <c r="AD4" s="35"/>
    </row>
    <row r="5" spans="1:30" x14ac:dyDescent="0.3">
      <c r="B5" s="13" t="s">
        <v>175</v>
      </c>
      <c r="C5" s="13">
        <f>('Consolidated P&amp;L'!H$6+'Consolidated P&amp;L'!H$11)*(1-Assumptions!F$62)</f>
        <v>229659.66556304559</v>
      </c>
      <c r="D5" s="13">
        <f>('Consolidated P&amp;L'!I$6+'Consolidated P&amp;L'!I$11)*(1-Assumptions!G$62)</f>
        <v>200446.23653515251</v>
      </c>
      <c r="E5" s="13">
        <f>('Consolidated P&amp;L'!J$6+'Consolidated P&amp;L'!J$11)*(1-Assumptions!H$62)</f>
        <v>291487.20127420488</v>
      </c>
      <c r="F5" s="13">
        <f>('Consolidated P&amp;L'!K$6+'Consolidated P&amp;L'!K$11)*(1-Assumptions!I$62)</f>
        <v>297338.30152117182</v>
      </c>
      <c r="G5" s="13">
        <f>('Consolidated P&amp;L'!L$6+'Consolidated P&amp;L'!L$11)*(1-Assumptions!J$62)</f>
        <v>391482.35781271727</v>
      </c>
      <c r="H5" s="13">
        <f>('Consolidated P&amp;L'!M$6+'Consolidated P&amp;L'!M$11)*(1-Assumptions!K$62)</f>
        <v>355758.6178992397</v>
      </c>
      <c r="I5" s="13">
        <f>('Consolidated P&amp;L'!N$6+'Consolidated P&amp;L'!N$11)*(1-Assumptions!L$62)</f>
        <v>463208.15014234709</v>
      </c>
      <c r="J5" s="13">
        <f>('Consolidated P&amp;L'!O$6+'Consolidated P&amp;L'!O$11)*(1-Assumptions!M$62)</f>
        <v>431114.91846385924</v>
      </c>
      <c r="K5" s="13">
        <f>('Consolidated P&amp;L'!P$6+'Consolidated P&amp;L'!P$11)*(1-Assumptions!N$62)</f>
        <v>535524.46453125554</v>
      </c>
      <c r="L5" s="13">
        <f>('Consolidated P&amp;L'!Q$6+'Consolidated P&amp;L'!Q$11)*(1-Assumptions!O$62)</f>
        <v>494509.34495049698</v>
      </c>
      <c r="M5" s="13">
        <f>('Consolidated P&amp;L'!R$6+'Consolidated P&amp;L'!R$11)*(1-Assumptions!P$62)</f>
        <v>608537.90571928606</v>
      </c>
      <c r="N5" s="13">
        <f>('Consolidated P&amp;L'!S$6+'Consolidated P&amp;L'!S$11)*(1-Assumptions!Q$62)</f>
        <v>552241.84483884054</v>
      </c>
      <c r="O5" s="13">
        <f>('Consolidated P&amp;L'!T$6+'Consolidated P&amp;L'!T$11)*(1-Assumptions!R$62)</f>
        <v>661230.47574746073</v>
      </c>
      <c r="P5" s="13">
        <f>('Consolidated P&amp;L'!U$6+'Consolidated P&amp;L'!U$11)*(1-Assumptions!S$62)</f>
        <v>610010.15745272755</v>
      </c>
      <c r="Q5" s="13">
        <f>('Consolidated P&amp;L'!V$6+'Consolidated P&amp;L'!V$11)*(1-Assumptions!T$62)</f>
        <v>728718.77175331512</v>
      </c>
      <c r="R5" s="13">
        <f>('Consolidated P&amp;L'!W$6+'Consolidated P&amp;L'!W$11)*(1-Assumptions!U$62)</f>
        <v>673190.19301696599</v>
      </c>
      <c r="S5" s="13">
        <f>('Consolidated P&amp;L'!X$6+'Consolidated P&amp;L'!X$11)*(1-Assumptions!V$62)</f>
        <v>781506.18159814051</v>
      </c>
      <c r="T5" s="13">
        <f>('Consolidated P&amp;L'!Y$6+'Consolidated P&amp;L'!Y$11)*(1-Assumptions!W$62)</f>
        <v>723719.99011762475</v>
      </c>
      <c r="U5" s="13">
        <f>('Consolidated P&amp;L'!Z$6+'Consolidated P&amp;L'!Z$11)*(1-Assumptions!X$62)</f>
        <v>840918.93339402997</v>
      </c>
      <c r="W5" s="16">
        <f>SUM($C5:$E5)</f>
        <v>721593.10337240295</v>
      </c>
      <c r="X5" s="16">
        <f>SUM($F5:$I5)</f>
        <v>1507787.4273754759</v>
      </c>
      <c r="Y5" s="16">
        <f>SUM($J5:$M5)</f>
        <v>2069686.6336648979</v>
      </c>
      <c r="Z5" s="16">
        <f>SUM($N5:$Q5)</f>
        <v>2552201.2497923439</v>
      </c>
      <c r="AA5" s="16">
        <f>SUM($R5:$U5)</f>
        <v>3019335.2981267609</v>
      </c>
      <c r="AB5" s="16"/>
      <c r="AC5" s="158">
        <f>$AA5*(1+C13)</f>
        <v>3143128.0453499579</v>
      </c>
      <c r="AD5" s="16"/>
    </row>
    <row r="6" spans="1:30" x14ac:dyDescent="0.3">
      <c r="B6" s="13" t="s">
        <v>176</v>
      </c>
      <c r="C6" s="13">
        <f>-('Consolidated P&amp;L'!H$10)</f>
        <v>147872.20644593667</v>
      </c>
      <c r="D6" s="13">
        <f>-('Consolidated P&amp;L'!I$10)</f>
        <v>149304.34577094522</v>
      </c>
      <c r="E6" s="13">
        <f>-('Consolidated P&amp;L'!J$10)</f>
        <v>150766.89304174809</v>
      </c>
      <c r="F6" s="13">
        <f>-('Consolidated P&amp;L'!K$10)</f>
        <v>155966.88072397743</v>
      </c>
      <c r="G6" s="13">
        <f>-('Consolidated P&amp;L'!L$10)</f>
        <v>157560.81905753395</v>
      </c>
      <c r="H6" s="13">
        <f>-('Consolidated P&amp;L'!M$10)</f>
        <v>164217.42970133643</v>
      </c>
      <c r="I6" s="13">
        <f>-('Consolidated P&amp;L'!N$10)</f>
        <v>166080.94956064469</v>
      </c>
      <c r="J6" s="13">
        <f>-('Consolidated P&amp;L'!O$10)</f>
        <v>171655.9410764529</v>
      </c>
      <c r="K6" s="13">
        <f>-('Consolidated P&amp;L'!P$10)</f>
        <v>173668.67425001002</v>
      </c>
      <c r="L6" s="13">
        <f>-('Consolidated P&amp;L'!Q$10)</f>
        <v>180686.06852255753</v>
      </c>
      <c r="M6" s="13">
        <f>-('Consolidated P&amp;L'!R$10)</f>
        <v>182874.21379917872</v>
      </c>
      <c r="N6" s="13">
        <f>-('Consolidated P&amp;L'!S$10)</f>
        <v>186885.44425639889</v>
      </c>
      <c r="O6" s="13">
        <f>-('Consolidated P&amp;L'!T$10)</f>
        <v>189328.93506915218</v>
      </c>
      <c r="P6" s="13">
        <f>-('Consolidated P&amp;L'!U$10)</f>
        <v>198442.31690496532</v>
      </c>
      <c r="Q6" s="13">
        <f>-('Consolidated P&amp;L'!V$10)</f>
        <v>201087.13338095433</v>
      </c>
      <c r="R6" s="13">
        <f>-('Consolidated P&amp;L'!W$10)</f>
        <v>205553.47495125007</v>
      </c>
      <c r="S6" s="13">
        <f>-('Consolidated P&amp;L'!X$10)</f>
        <v>208297.82868943043</v>
      </c>
      <c r="T6" s="13">
        <f>-('Consolidated P&amp;L'!Y$10)</f>
        <v>219377.78492882859</v>
      </c>
      <c r="U6" s="13">
        <f>-('Consolidated P&amp;L'!Z$10)</f>
        <v>222342.90678170702</v>
      </c>
      <c r="W6" s="16">
        <f>SUM($C6:$E6)</f>
        <v>447943.44525862997</v>
      </c>
      <c r="X6" s="16">
        <f>SUM($F6:$I6)</f>
        <v>643826.07904349244</v>
      </c>
      <c r="Y6" s="16">
        <f>SUM($J6:$M6)</f>
        <v>708884.89764819911</v>
      </c>
      <c r="Z6" s="16">
        <f>SUM($N6:$Q6)</f>
        <v>775743.82961147069</v>
      </c>
      <c r="AA6" s="16">
        <f>SUM($R6:$U6)</f>
        <v>855571.99535121606</v>
      </c>
      <c r="AB6" s="16"/>
      <c r="AC6" s="158">
        <f>-('Consolidated BS'!Y12*C13)</f>
        <v>-492296.10612991039</v>
      </c>
      <c r="AD6" s="182"/>
    </row>
    <row r="7" spans="1:30" x14ac:dyDescent="0.3">
      <c r="B7" s="13" t="s">
        <v>177</v>
      </c>
      <c r="C7" s="13">
        <f>'Consolidated SCF'!E$14</f>
        <v>-225880.64216644279</v>
      </c>
      <c r="D7" s="13">
        <f>'Consolidated SCF'!F14</f>
        <v>-227000.7940163821</v>
      </c>
      <c r="E7" s="13">
        <f>'Consolidated SCF'!G$14</f>
        <v>-337175.44389382331</v>
      </c>
      <c r="F7" s="13">
        <f>'Consolidated SCF'!H$14</f>
        <v>-242648.64330649</v>
      </c>
      <c r="G7" s="13">
        <f>'Consolidated SCF'!I$14</f>
        <v>-547131.72754568094</v>
      </c>
      <c r="H7" s="13">
        <f>'Consolidated SCF'!J$14</f>
        <v>-263897.8857943404</v>
      </c>
      <c r="I7" s="13">
        <f>'Consolidated SCF'!K$14</f>
        <v>-373107.33226918115</v>
      </c>
      <c r="J7" s="13">
        <f>'Consolidated SCF'!L$14</f>
        <v>-281079.71843030216</v>
      </c>
      <c r="K7" s="13">
        <f>'Consolidated SCF'!M$14</f>
        <v>-583017.95739971439</v>
      </c>
      <c r="L7" s="13">
        <f>'Consolidated SCF'!N$14</f>
        <v>-298276.11694266822</v>
      </c>
      <c r="M7" s="13">
        <f>'Consolidated SCF'!O$14</f>
        <v>-352332.12378862139</v>
      </c>
      <c r="N7" s="13">
        <f>'Consolidated SCF'!P$14</f>
        <v>-318044.9984730017</v>
      </c>
      <c r="O7" s="13">
        <f>'Consolidated SCF'!Q$14</f>
        <v>-720335.23163015116</v>
      </c>
      <c r="P7" s="13">
        <f>'Consolidated SCF'!R$14</f>
        <v>-339050.20997446356</v>
      </c>
      <c r="Q7" s="13">
        <f>'Consolidated SCF'!S$14</f>
        <v>-393478.43374133593</v>
      </c>
      <c r="R7" s="13">
        <f>'Consolidated SCF'!T$14</f>
        <v>-351927.78594126884</v>
      </c>
      <c r="S7" s="13">
        <f>'Consolidated SCF'!U$14</f>
        <v>-854465.11623083474</v>
      </c>
      <c r="T7" s="13">
        <f>'Consolidated SCF'!V$14</f>
        <v>-376160.75483257894</v>
      </c>
      <c r="U7" s="13">
        <f>'Consolidated SCF'!W$14</f>
        <v>-430851.18906591466</v>
      </c>
      <c r="W7" s="16">
        <f>SUM($C7:$E7)</f>
        <v>-790056.8800766482</v>
      </c>
      <c r="X7" s="16">
        <f>SUM($F7:$I7)</f>
        <v>-1426785.5889156926</v>
      </c>
      <c r="Y7" s="16">
        <f>SUM($J7:$M7)</f>
        <v>-1514705.916561306</v>
      </c>
      <c r="Z7" s="16">
        <f>SUM($N7:$Q7)</f>
        <v>-1770908.8738189524</v>
      </c>
      <c r="AA7" s="16">
        <f>SUM($R7:$U7)</f>
        <v>-2013404.8460705969</v>
      </c>
      <c r="AB7" s="16"/>
      <c r="AC7" s="158"/>
      <c r="AD7" s="182"/>
    </row>
    <row r="8" spans="1:30" ht="15.5" x14ac:dyDescent="0.45">
      <c r="B8" s="44" t="s">
        <v>178</v>
      </c>
      <c r="C8" s="13">
        <f>-('Consolidated BS'!G31-'Consolidated BS'!F31)</f>
        <v>-116487.65092181694</v>
      </c>
      <c r="D8" s="13">
        <f>-('Consolidated BS'!H31-'Consolidated BS'!G31)</f>
        <v>19131.203266307246</v>
      </c>
      <c r="E8" s="13">
        <f>-('Consolidated BS'!I31-'Consolidated BS'!H31)</f>
        <v>-132730.31675016996</v>
      </c>
      <c r="F8" s="13">
        <f>-('Consolidated BS'!J31-'Consolidated BS'!I31)</f>
        <v>18170.618468367029</v>
      </c>
      <c r="G8" s="13">
        <f>-('Consolidated BS'!K31-'Consolidated BS'!J31)</f>
        <v>-124872.40786265745</v>
      </c>
      <c r="H8" s="13">
        <f>-('Consolidated BS'!L31-'Consolidated BS'!K31)</f>
        <v>23232.819267001236</v>
      </c>
      <c r="I8" s="13">
        <f>-('Consolidated BS'!M31-'Consolidated BS'!L31)</f>
        <v>-145004.85004698578</v>
      </c>
      <c r="J8" s="13">
        <f>-('Consolidated BS'!N31-'Consolidated BS'!M31)</f>
        <v>30624.185792932287</v>
      </c>
      <c r="K8" s="13">
        <f>-('Consolidated BS'!O31-'Consolidated BS'!N31)</f>
        <v>-140266.70239642286</v>
      </c>
      <c r="L8" s="13">
        <f>-('Consolidated BS'!P31-'Consolidated BS'!O31)</f>
        <v>26538.487043256871</v>
      </c>
      <c r="M8" s="13">
        <f>-('Consolidated BS'!Q31-'Consolidated BS'!P31)</f>
        <v>-154412.61248347512</v>
      </c>
      <c r="N8" s="13">
        <f>-('Consolidated BS'!R31-'Consolidated BS'!Q31)</f>
        <v>43606.730597528396</v>
      </c>
      <c r="O8" s="13">
        <f>-('Consolidated BS'!S31-'Consolidated BS'!R31)</f>
        <v>-147597.86773560918</v>
      </c>
      <c r="P8" s="13">
        <f>-('Consolidated BS'!T31-'Consolidated BS'!S31)</f>
        <v>28259.342472109944</v>
      </c>
      <c r="Q8" s="13">
        <f>-('Consolidated BS'!U31-'Consolidated BS'!T31)</f>
        <v>-161634.56055332301</v>
      </c>
      <c r="R8" s="13">
        <f>-('Consolidated BS'!V31-'Consolidated BS'!U31)</f>
        <v>55895.286350722658</v>
      </c>
      <c r="S8" s="13">
        <f>-('Consolidated BS'!W31-'Consolidated BS'!V31)</f>
        <v>-148927.20231178985</v>
      </c>
      <c r="T8" s="13">
        <f>-('Consolidated BS'!X31-'Consolidated BS'!W31)</f>
        <v>32101.443732745014</v>
      </c>
      <c r="U8" s="13">
        <f>-('Consolidated BS'!Y31-'Consolidated BS'!X31)</f>
        <v>-161793.74485383229</v>
      </c>
      <c r="W8" s="16">
        <f>SUM($C8:$E8)</f>
        <v>-230086.76440567966</v>
      </c>
      <c r="X8" s="16">
        <f>SUM($F8:$I8)</f>
        <v>-228473.82017427497</v>
      </c>
      <c r="Y8" s="16">
        <f>SUM($J8:$M8)</f>
        <v>-237516.64204370882</v>
      </c>
      <c r="Z8" s="16">
        <f>SUM($N8:$Q8)</f>
        <v>-237366.35521929385</v>
      </c>
      <c r="AA8" s="16">
        <f>SUM($R8:$U8)</f>
        <v>-222724.21708215447</v>
      </c>
      <c r="AB8" s="36"/>
      <c r="AC8" s="158">
        <f>-('Consolidated BS'!Y31*C13)</f>
        <v>-91338.910431461743</v>
      </c>
      <c r="AD8" s="16"/>
    </row>
    <row r="9" spans="1:30" x14ac:dyDescent="0.3">
      <c r="B9" s="23" t="s">
        <v>179</v>
      </c>
      <c r="C9" s="13">
        <f t="shared" ref="C9:U9" si="0">SUM(C$5:C$8)</f>
        <v>35163.578920722503</v>
      </c>
      <c r="D9" s="13">
        <f t="shared" si="0"/>
        <v>141880.99155602287</v>
      </c>
      <c r="E9" s="13">
        <f t="shared" si="0"/>
        <v>-27651.666328040301</v>
      </c>
      <c r="F9" s="13">
        <f t="shared" si="0"/>
        <v>228827.1574070263</v>
      </c>
      <c r="G9" s="13">
        <f t="shared" si="0"/>
        <v>-122960.9585380872</v>
      </c>
      <c r="H9" s="13">
        <f t="shared" si="0"/>
        <v>279310.98107323697</v>
      </c>
      <c r="I9" s="13">
        <f t="shared" si="0"/>
        <v>111176.91738682485</v>
      </c>
      <c r="J9" s="13">
        <f t="shared" si="0"/>
        <v>352315.32690294221</v>
      </c>
      <c r="K9" s="13">
        <f t="shared" si="0"/>
        <v>-14091.521014871658</v>
      </c>
      <c r="L9" s="13">
        <f t="shared" si="0"/>
        <v>403457.78357364319</v>
      </c>
      <c r="M9" s="13">
        <f t="shared" si="0"/>
        <v>284667.38324636826</v>
      </c>
      <c r="N9" s="13">
        <f t="shared" si="0"/>
        <v>464689.02121976617</v>
      </c>
      <c r="O9" s="13">
        <f t="shared" si="0"/>
        <v>-17373.688549147453</v>
      </c>
      <c r="P9" s="13">
        <f t="shared" si="0"/>
        <v>497661.60685533925</v>
      </c>
      <c r="Q9" s="13">
        <f t="shared" si="0"/>
        <v>374692.9108396105</v>
      </c>
      <c r="R9" s="13">
        <f t="shared" si="0"/>
        <v>582711.16837766999</v>
      </c>
      <c r="S9" s="13">
        <f t="shared" si="0"/>
        <v>-13588.308255053591</v>
      </c>
      <c r="T9" s="13">
        <f t="shared" si="0"/>
        <v>599038.46394661942</v>
      </c>
      <c r="U9" s="13">
        <f t="shared" si="0"/>
        <v>470616.90625599003</v>
      </c>
      <c r="W9" s="16">
        <f>SUM($C9:$E9)</f>
        <v>149392.90414870507</v>
      </c>
      <c r="X9" s="16">
        <f>SUM($F9:$I9)</f>
        <v>496354.09732900094</v>
      </c>
      <c r="Y9" s="16">
        <f>SUM($J9:$M9)</f>
        <v>1026348.9727080821</v>
      </c>
      <c r="Z9" s="16">
        <f>SUM($N9:$Q9)</f>
        <v>1319669.8503655684</v>
      </c>
      <c r="AA9" s="16">
        <f>SUM($R9:$U9)</f>
        <v>1638778.230325226</v>
      </c>
      <c r="AB9" s="16"/>
      <c r="AC9" s="158">
        <f>SUM(AC5:AC8)</f>
        <v>2559493.0287885857</v>
      </c>
      <c r="AD9" s="16"/>
    </row>
    <row r="10" spans="1:30" x14ac:dyDescent="0.3">
      <c r="B10" s="13" t="s">
        <v>180</v>
      </c>
      <c r="C10" s="13">
        <f>C$9/(1+$C$14)^C$11</f>
        <v>34341.910626375808</v>
      </c>
      <c r="D10" s="13">
        <f t="shared" ref="D10:U10" si="1">D$9/(1+$C$14)^D$11</f>
        <v>135327.7872325826</v>
      </c>
      <c r="E10" s="13">
        <f t="shared" si="1"/>
        <v>-25758.19675136968</v>
      </c>
      <c r="F10" s="13">
        <f t="shared" si="1"/>
        <v>208177.16841556891</v>
      </c>
      <c r="G10" s="13">
        <f t="shared" si="1"/>
        <v>-109250.68138858475</v>
      </c>
      <c r="H10" s="13">
        <f t="shared" si="1"/>
        <v>242368.57386574251</v>
      </c>
      <c r="I10" s="13">
        <f t="shared" si="1"/>
        <v>94218.092649774364</v>
      </c>
      <c r="J10" s="13">
        <f t="shared" si="1"/>
        <v>291596.69661002542</v>
      </c>
      <c r="K10" s="13">
        <f t="shared" si="1"/>
        <v>-11390.435217159797</v>
      </c>
      <c r="L10" s="13">
        <f t="shared" si="1"/>
        <v>318501.82629132411</v>
      </c>
      <c r="M10" s="13">
        <f t="shared" si="1"/>
        <v>219473.92000854135</v>
      </c>
      <c r="N10" s="13">
        <f t="shared" si="1"/>
        <v>349896.02298360347</v>
      </c>
      <c r="O10" s="13">
        <f t="shared" si="1"/>
        <v>-12776.150203342278</v>
      </c>
      <c r="P10" s="13">
        <f t="shared" si="1"/>
        <v>357415.59454967448</v>
      </c>
      <c r="Q10" s="13">
        <f t="shared" si="1"/>
        <v>262812.62206990301</v>
      </c>
      <c r="R10" s="13">
        <f t="shared" si="1"/>
        <v>399167.76987394632</v>
      </c>
      <c r="S10" s="13">
        <f t="shared" si="1"/>
        <v>-9090.7329266531542</v>
      </c>
      <c r="T10" s="13">
        <f t="shared" si="1"/>
        <v>391398.89977393963</v>
      </c>
      <c r="U10" s="13">
        <f t="shared" si="1"/>
        <v>300305.85443430027</v>
      </c>
      <c r="AA10" s="114" t="s">
        <v>181</v>
      </c>
      <c r="AC10" s="117">
        <f>(AC9/(C14-C13))*(1+C14)^0.5</f>
        <v>46111655.974548265</v>
      </c>
    </row>
    <row r="11" spans="1:30" x14ac:dyDescent="0.3">
      <c r="C11" s="13">
        <v>0.25</v>
      </c>
      <c r="D11" s="13">
        <v>0.5</v>
      </c>
      <c r="E11" s="13">
        <v>0.75</v>
      </c>
      <c r="F11" s="13">
        <v>1</v>
      </c>
      <c r="G11" s="13">
        <v>1.25</v>
      </c>
      <c r="H11" s="13">
        <v>1.5</v>
      </c>
      <c r="I11" s="13">
        <v>1.75</v>
      </c>
      <c r="J11" s="13">
        <v>2</v>
      </c>
      <c r="K11" s="13">
        <v>2.25</v>
      </c>
      <c r="L11" s="13">
        <v>2.5</v>
      </c>
      <c r="M11" s="13">
        <v>2.75</v>
      </c>
      <c r="N11" s="13">
        <v>3</v>
      </c>
      <c r="O11" s="13">
        <v>3.25</v>
      </c>
      <c r="P11" s="13">
        <v>3.5</v>
      </c>
      <c r="Q11" s="13">
        <v>3.75</v>
      </c>
      <c r="R11" s="13">
        <v>4</v>
      </c>
      <c r="S11" s="13">
        <v>4.25</v>
      </c>
      <c r="T11" s="13">
        <v>4.5</v>
      </c>
      <c r="U11" s="13">
        <v>4.75</v>
      </c>
    </row>
    <row r="13" spans="1:30" ht="15" x14ac:dyDescent="0.3">
      <c r="B13" s="13" t="s">
        <v>182</v>
      </c>
      <c r="C13" s="37">
        <v>4.1000000000000002E-2</v>
      </c>
      <c r="D13" s="104"/>
      <c r="E13" s="123" t="s">
        <v>183</v>
      </c>
      <c r="F13" s="128">
        <f>1-F14</f>
        <v>0.11111111111111116</v>
      </c>
      <c r="G13" s="123" t="s">
        <v>184</v>
      </c>
      <c r="H13" s="128">
        <f>COMPS!I23</f>
        <v>0.125</v>
      </c>
      <c r="I13" s="123" t="s">
        <v>185</v>
      </c>
      <c r="J13" s="129">
        <f>COMPS!I19</f>
        <v>3.0200000000000001E-2</v>
      </c>
      <c r="W13" s="113" t="s">
        <v>186</v>
      </c>
      <c r="X13" s="115">
        <f>SUM(C10:U10)</f>
        <v>3436736.5428981925</v>
      </c>
    </row>
    <row r="14" spans="1:30" ht="15" x14ac:dyDescent="0.3">
      <c r="B14" s="13" t="s">
        <v>187</v>
      </c>
      <c r="C14" s="37">
        <f>F14*F16+F13*F15*(1-Assumptions!J62)</f>
        <v>9.9194302375346502E-2</v>
      </c>
      <c r="D14" s="104"/>
      <c r="E14" s="123" t="s">
        <v>188</v>
      </c>
      <c r="F14" s="128">
        <f>1/(1+H13)</f>
        <v>0.88888888888888884</v>
      </c>
      <c r="G14" s="130"/>
      <c r="H14" s="130"/>
      <c r="I14" s="123" t="s">
        <v>189</v>
      </c>
      <c r="J14" s="129">
        <f>COMPS!I20</f>
        <v>5.96E-2</v>
      </c>
      <c r="W14" s="113" t="s">
        <v>190</v>
      </c>
      <c r="X14" s="115">
        <f>AC10/(1+C14)^4.75</f>
        <v>29424357.822123971</v>
      </c>
    </row>
    <row r="15" spans="1:30" x14ac:dyDescent="0.3">
      <c r="E15" s="123" t="s">
        <v>191</v>
      </c>
      <c r="F15" s="131">
        <v>6.25E-2</v>
      </c>
      <c r="G15" s="81"/>
      <c r="H15" s="81"/>
      <c r="X15" s="108"/>
    </row>
    <row r="16" spans="1:30" x14ac:dyDescent="0.3">
      <c r="E16" s="123" t="s">
        <v>192</v>
      </c>
      <c r="F16" s="131">
        <f>J13+S31*J14</f>
        <v>0.10628109017226482</v>
      </c>
      <c r="W16" s="113" t="s">
        <v>193</v>
      </c>
      <c r="X16" s="115">
        <f>SUM(X13:X14)</f>
        <v>32861094.365022164</v>
      </c>
    </row>
    <row r="21" spans="5:19" x14ac:dyDescent="0.3">
      <c r="E21" s="139" t="s">
        <v>78</v>
      </c>
      <c r="F21" s="123" t="s">
        <v>228</v>
      </c>
      <c r="G21" s="123" t="s">
        <v>229</v>
      </c>
      <c r="H21" s="123" t="s">
        <v>230</v>
      </c>
      <c r="I21" s="123" t="s">
        <v>231</v>
      </c>
      <c r="J21" s="154" t="s">
        <v>233</v>
      </c>
      <c r="K21" s="141" t="s">
        <v>232</v>
      </c>
      <c r="L21" s="151"/>
      <c r="M21" s="152" t="s">
        <v>78</v>
      </c>
      <c r="N21" s="132"/>
      <c r="O21" s="139" t="s">
        <v>234</v>
      </c>
      <c r="Q21" s="15"/>
      <c r="S21" s="123" t="s">
        <v>235</v>
      </c>
    </row>
    <row r="22" spans="5:19" x14ac:dyDescent="0.3">
      <c r="E22" s="132" t="s">
        <v>79</v>
      </c>
      <c r="F22" s="133">
        <v>17.46</v>
      </c>
      <c r="G22" s="134">
        <v>8113783</v>
      </c>
      <c r="H22" s="135">
        <v>17000000</v>
      </c>
      <c r="I22" s="135">
        <v>32043263</v>
      </c>
      <c r="J22" s="136">
        <v>1.6220000000000001</v>
      </c>
      <c r="K22" s="137">
        <v>0.375</v>
      </c>
      <c r="L22" s="144"/>
      <c r="M22" s="128" t="s">
        <v>80</v>
      </c>
      <c r="N22" s="132"/>
      <c r="O22" s="140">
        <f t="shared" ref="O22:O28" si="2">$J22/((1+(1-$K22)*($H22/($F22*$G22))))</f>
        <v>1.5088371977947059</v>
      </c>
      <c r="P22" s="97"/>
      <c r="Q22" s="132" t="s">
        <v>78</v>
      </c>
      <c r="R22" s="132" t="s">
        <v>238</v>
      </c>
      <c r="S22" s="140">
        <f>AVERAGE(O25,O27, O28)</f>
        <v>1.4997232691610574</v>
      </c>
    </row>
    <row r="23" spans="5:19" x14ac:dyDescent="0.3">
      <c r="E23" s="132" t="s">
        <v>81</v>
      </c>
      <c r="F23" s="133">
        <v>53.91</v>
      </c>
      <c r="G23" s="134">
        <v>1138260</v>
      </c>
      <c r="H23" s="135">
        <v>13500000</v>
      </c>
      <c r="I23" s="135">
        <v>12645489</v>
      </c>
      <c r="J23" s="136">
        <v>1.5509999999999999</v>
      </c>
      <c r="K23" s="137">
        <v>0.34</v>
      </c>
      <c r="L23" s="132"/>
      <c r="M23" s="128" t="s">
        <v>80</v>
      </c>
      <c r="N23" s="132"/>
      <c r="O23" s="140">
        <f t="shared" si="2"/>
        <v>1.3543484741266252</v>
      </c>
      <c r="Q23" s="132" t="s">
        <v>78</v>
      </c>
      <c r="R23" s="132" t="s">
        <v>236</v>
      </c>
      <c r="S23" s="140">
        <f>AVERAGE(O22:O24, O26)</f>
        <v>1.2925921922077486</v>
      </c>
    </row>
    <row r="24" spans="5:19" x14ac:dyDescent="0.3">
      <c r="E24" s="132" t="s">
        <v>82</v>
      </c>
      <c r="F24" s="133">
        <v>11.26</v>
      </c>
      <c r="G24" s="134">
        <v>9069952</v>
      </c>
      <c r="H24" s="135">
        <v>48000000</v>
      </c>
      <c r="I24" s="135">
        <v>39847189</v>
      </c>
      <c r="J24" s="136">
        <v>1.532</v>
      </c>
      <c r="K24" s="137">
        <v>0.38</v>
      </c>
      <c r="L24" s="132"/>
      <c r="M24" s="128" t="s">
        <v>80</v>
      </c>
      <c r="N24" s="132"/>
      <c r="O24" s="140">
        <f t="shared" si="2"/>
        <v>1.1863094314818272</v>
      </c>
      <c r="Q24" s="132" t="s">
        <v>78</v>
      </c>
      <c r="R24" s="139" t="s">
        <v>237</v>
      </c>
      <c r="S24" s="140">
        <f>AVERAGE(O22:O28)</f>
        <v>1.3813626537591668</v>
      </c>
    </row>
    <row r="25" spans="5:19" x14ac:dyDescent="0.3">
      <c r="E25" s="132" t="s">
        <v>83</v>
      </c>
      <c r="F25" s="133">
        <v>27.01</v>
      </c>
      <c r="G25" s="134">
        <v>629396</v>
      </c>
      <c r="H25" s="138">
        <v>3400000</v>
      </c>
      <c r="I25" s="138">
        <v>1080564</v>
      </c>
      <c r="J25" s="136">
        <v>1.667</v>
      </c>
      <c r="K25" s="137">
        <v>0.36499999999999999</v>
      </c>
      <c r="L25" s="132"/>
      <c r="M25" s="128" t="s">
        <v>84</v>
      </c>
      <c r="N25" s="132"/>
      <c r="O25" s="140">
        <f t="shared" si="2"/>
        <v>1.4791480433508288</v>
      </c>
      <c r="Q25" s="132" t="s">
        <v>88</v>
      </c>
      <c r="R25" s="132" t="s">
        <v>238</v>
      </c>
      <c r="S25" s="140">
        <f>O32</f>
        <v>1.089788928282813</v>
      </c>
    </row>
    <row r="26" spans="5:19" x14ac:dyDescent="0.3">
      <c r="E26" s="132" t="s">
        <v>85</v>
      </c>
      <c r="F26" s="133">
        <v>104.98</v>
      </c>
      <c r="G26" s="134">
        <v>1734457</v>
      </c>
      <c r="H26" s="138">
        <v>65550000</v>
      </c>
      <c r="I26" s="138">
        <v>45164743</v>
      </c>
      <c r="J26" s="136">
        <v>1.365</v>
      </c>
      <c r="K26" s="137">
        <v>0.39500000000000002</v>
      </c>
      <c r="L26" s="132"/>
      <c r="M26" s="128" t="s">
        <v>80</v>
      </c>
      <c r="N26" s="132"/>
      <c r="O26" s="140">
        <f t="shared" si="2"/>
        <v>1.1208736654278357</v>
      </c>
      <c r="Q26" s="132" t="s">
        <v>88</v>
      </c>
      <c r="R26" s="132" t="s">
        <v>239</v>
      </c>
      <c r="S26" s="140">
        <f>O31</f>
        <v>0.99014030939328168</v>
      </c>
    </row>
    <row r="27" spans="5:19" x14ac:dyDescent="0.3">
      <c r="E27" s="132" t="s">
        <v>86</v>
      </c>
      <c r="F27" s="133">
        <v>19.440000000000001</v>
      </c>
      <c r="G27" s="134">
        <v>1876523</v>
      </c>
      <c r="H27" s="138">
        <v>9484700</v>
      </c>
      <c r="I27" s="138">
        <v>2969480</v>
      </c>
      <c r="J27" s="136">
        <v>1.7450000000000001</v>
      </c>
      <c r="K27" s="137">
        <v>0.36199999999999999</v>
      </c>
      <c r="L27" s="132"/>
      <c r="M27" s="128" t="s">
        <v>84</v>
      </c>
      <c r="N27" s="132"/>
      <c r="O27" s="140">
        <f t="shared" si="2"/>
        <v>1.4967234567467238</v>
      </c>
      <c r="Q27" s="132" t="s">
        <v>88</v>
      </c>
      <c r="R27" s="139" t="s">
        <v>237</v>
      </c>
      <c r="S27" s="140">
        <f>AVERAGE(O31:O32)</f>
        <v>1.0399646188380474</v>
      </c>
    </row>
    <row r="28" spans="5:19" x14ac:dyDescent="0.3">
      <c r="E28" s="132" t="s">
        <v>87</v>
      </c>
      <c r="F28" s="133">
        <v>29.55</v>
      </c>
      <c r="G28" s="134">
        <v>1687576</v>
      </c>
      <c r="H28" s="138">
        <v>4488110</v>
      </c>
      <c r="I28" s="138">
        <v>3300726</v>
      </c>
      <c r="J28" s="136">
        <v>1.6120000000000001</v>
      </c>
      <c r="K28" s="137">
        <v>0.35299999999999998</v>
      </c>
      <c r="L28" s="143"/>
      <c r="M28" s="128" t="s">
        <v>84</v>
      </c>
      <c r="N28" s="143"/>
      <c r="O28" s="140">
        <f t="shared" si="2"/>
        <v>1.5232983073856201</v>
      </c>
    </row>
    <row r="29" spans="5:19" x14ac:dyDescent="0.3">
      <c r="E29" s="132"/>
      <c r="F29" s="128"/>
      <c r="G29" s="128"/>
      <c r="H29" s="135"/>
      <c r="I29" s="135"/>
      <c r="J29" s="136"/>
      <c r="K29" s="147"/>
      <c r="L29" s="150"/>
      <c r="M29" s="148"/>
      <c r="N29" s="145"/>
      <c r="O29" s="142"/>
    </row>
    <row r="30" spans="5:19" ht="15.5" x14ac:dyDescent="0.35">
      <c r="E30" s="139" t="s">
        <v>88</v>
      </c>
      <c r="F30" s="128"/>
      <c r="G30" s="128"/>
      <c r="H30" s="135"/>
      <c r="I30" s="135"/>
      <c r="J30" s="136"/>
      <c r="K30" s="147"/>
      <c r="L30" s="151"/>
      <c r="M30" s="149" t="s">
        <v>88</v>
      </c>
      <c r="N30" s="146"/>
      <c r="O30" s="142"/>
      <c r="R30" s="155" t="s">
        <v>240</v>
      </c>
      <c r="S30" s="156">
        <f>0.4*S24+0.6*S27</f>
        <v>1.1765238328064953</v>
      </c>
    </row>
    <row r="31" spans="5:19" ht="15.5" x14ac:dyDescent="0.35">
      <c r="E31" s="132" t="s">
        <v>89</v>
      </c>
      <c r="F31" s="133">
        <v>37.54</v>
      </c>
      <c r="G31" s="134">
        <v>1116379</v>
      </c>
      <c r="H31" s="138">
        <v>13410843</v>
      </c>
      <c r="I31" s="138">
        <v>4837001</v>
      </c>
      <c r="J31" s="136">
        <v>1.1850000000000001</v>
      </c>
      <c r="K31" s="137">
        <v>0.38500000000000001</v>
      </c>
      <c r="L31" s="144"/>
      <c r="M31" s="128" t="s">
        <v>80</v>
      </c>
      <c r="N31" s="144"/>
      <c r="O31" s="140">
        <f>$J31/((1+(1-$K31)*($H31/($F31*$G31))))</f>
        <v>0.99014030939328168</v>
      </c>
      <c r="R31" s="155" t="s">
        <v>241</v>
      </c>
      <c r="S31" s="156">
        <f>S30*(1+(H13)*(1-Assumptions!J62))</f>
        <v>1.2765283585950473</v>
      </c>
    </row>
    <row r="32" spans="5:19" x14ac:dyDescent="0.3">
      <c r="E32" s="132" t="s">
        <v>90</v>
      </c>
      <c r="F32" s="133">
        <v>12.12</v>
      </c>
      <c r="G32" s="135">
        <v>1943312</v>
      </c>
      <c r="H32" s="135">
        <v>2826353</v>
      </c>
      <c r="I32" s="135">
        <v>929967</v>
      </c>
      <c r="J32" s="136">
        <v>1.171</v>
      </c>
      <c r="K32" s="137">
        <v>0.379</v>
      </c>
      <c r="L32" s="132"/>
      <c r="M32" s="128" t="s">
        <v>84</v>
      </c>
      <c r="N32" s="132"/>
      <c r="O32" s="140">
        <f>$J32/((1+(1-$K32)*($H32/($F32*$G32))))</f>
        <v>1.089788928282813</v>
      </c>
    </row>
    <row r="33" spans="3:16" x14ac:dyDescent="0.3">
      <c r="L33" s="150"/>
      <c r="M33" s="39"/>
      <c r="N33" s="39"/>
      <c r="O33" s="145"/>
    </row>
    <row r="34" spans="3:16" x14ac:dyDescent="0.3">
      <c r="L34" s="151"/>
      <c r="M34" s="149" t="s">
        <v>237</v>
      </c>
      <c r="N34" s="153"/>
      <c r="O34" s="142">
        <f>AVERAGE(O22:O28, O31:O32)</f>
        <v>1.3054964237766957</v>
      </c>
    </row>
    <row r="37" spans="3:16" x14ac:dyDescent="0.3">
      <c r="C37" s="183" t="s">
        <v>194</v>
      </c>
      <c r="D37" s="183"/>
      <c r="E37" s="183"/>
      <c r="F37" s="183"/>
      <c r="G37" s="183"/>
      <c r="H37" s="183"/>
    </row>
    <row r="38" spans="3:16" x14ac:dyDescent="0.3">
      <c r="C38" s="109">
        <f>$X$16</f>
        <v>32861094.365022164</v>
      </c>
      <c r="D38" s="110">
        <f>E38-0.002</f>
        <v>3.6999999999999998E-2</v>
      </c>
      <c r="E38" s="111">
        <f>F38-0.002</f>
        <v>3.9E-2</v>
      </c>
      <c r="F38" s="111">
        <v>4.1000000000000002E-2</v>
      </c>
      <c r="G38" s="110">
        <f>F38+0.002</f>
        <v>4.3000000000000003E-2</v>
      </c>
      <c r="H38" s="110">
        <f t="shared" ref="H38" si="3">G38+0.002</f>
        <v>4.5000000000000005E-2</v>
      </c>
    </row>
    <row r="39" spans="3:16" x14ac:dyDescent="0.3">
      <c r="C39" s="109">
        <f>C40-0.001</f>
        <v>9.71943023753465E-2</v>
      </c>
      <c r="D39" s="112">
        <f t="dataTable" ref="D39:H43" dt2D="0" dtr="1" r1="C38"/>
        <v>9.71943023753465E-2</v>
      </c>
      <c r="E39" s="112">
        <v>9.71943023753465E-2</v>
      </c>
      <c r="F39" s="112">
        <v>9.71943023753465E-2</v>
      </c>
      <c r="G39" s="112">
        <v>9.71943023753465E-2</v>
      </c>
      <c r="H39" s="112">
        <v>9.71943023753465E-2</v>
      </c>
    </row>
    <row r="40" spans="3:16" x14ac:dyDescent="0.3">
      <c r="C40" s="109">
        <f>C41-0.001</f>
        <v>9.8194302375346501E-2</v>
      </c>
      <c r="D40" s="112">
        <v>9.8194302375346501E-2</v>
      </c>
      <c r="E40" s="112">
        <v>9.8194302375346501E-2</v>
      </c>
      <c r="F40" s="112">
        <v>9.8194302375346501E-2</v>
      </c>
      <c r="G40" s="112">
        <v>9.8194302375346501E-2</v>
      </c>
      <c r="H40" s="112">
        <v>9.8194302375346501E-2</v>
      </c>
    </row>
    <row r="41" spans="3:16" x14ac:dyDescent="0.3">
      <c r="C41" s="109">
        <v>9.9194302375346502E-2</v>
      </c>
      <c r="D41" s="112">
        <v>9.9194302375346502E-2</v>
      </c>
      <c r="E41" s="112">
        <v>9.9194302375346502E-2</v>
      </c>
      <c r="F41" s="112">
        <v>9.9194302375346502E-2</v>
      </c>
      <c r="G41" s="112">
        <v>9.9194302375346502E-2</v>
      </c>
      <c r="H41" s="112">
        <v>9.9194302375346502E-2</v>
      </c>
      <c r="L41" s="97"/>
      <c r="P41" s="97"/>
    </row>
    <row r="42" spans="3:16" ht="15.5" x14ac:dyDescent="0.35">
      <c r="C42" s="109">
        <f>C41+0.001</f>
        <v>0.1001943023753465</v>
      </c>
      <c r="D42" s="112">
        <v>0.1001943023753465</v>
      </c>
      <c r="E42" s="112">
        <v>0.1001943023753465</v>
      </c>
      <c r="F42" s="112">
        <v>0.1001943023753465</v>
      </c>
      <c r="G42" s="112">
        <v>0.1001943023753465</v>
      </c>
      <c r="H42" s="112">
        <v>0.1001943023753465</v>
      </c>
      <c r="M42" s="103"/>
      <c r="N42" s="103"/>
    </row>
    <row r="43" spans="3:16" x14ac:dyDescent="0.3">
      <c r="C43" s="109">
        <f t="shared" ref="C43" si="4">C42+0.001</f>
        <v>0.1011943023753465</v>
      </c>
      <c r="D43" s="112">
        <v>0.1011943023753465</v>
      </c>
      <c r="E43" s="112">
        <v>0.1011943023753465</v>
      </c>
      <c r="F43" s="112">
        <v>0.1011943023753465</v>
      </c>
      <c r="G43" s="112">
        <v>0.1011943023753465</v>
      </c>
      <c r="H43" s="112">
        <v>0.1011943023753465</v>
      </c>
    </row>
    <row r="77" spans="6:16" x14ac:dyDescent="0.3"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</row>
    <row r="78" spans="6:16" x14ac:dyDescent="0.3"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</row>
    <row r="89" spans="10:10" x14ac:dyDescent="0.3">
      <c r="J89" s="102"/>
    </row>
  </sheetData>
  <mergeCells count="3">
    <mergeCell ref="W3:AC3"/>
    <mergeCell ref="AD6:AD7"/>
    <mergeCell ref="C37:H3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54"/>
  <sheetViews>
    <sheetView showGridLines="0" zoomScale="52" zoomScaleNormal="100" workbookViewId="0">
      <pane xSplit="2" ySplit="4" topLeftCell="K5" activePane="bottomRight" state="frozen"/>
      <selection pane="topRight" activeCell="C1" sqref="C1"/>
      <selection pane="bottomLeft" activeCell="A5" sqref="A5"/>
      <selection pane="bottomRight" activeCell="T32" sqref="T32"/>
    </sheetView>
  </sheetViews>
  <sheetFormatPr defaultColWidth="9.1796875" defaultRowHeight="14" x14ac:dyDescent="0.3"/>
  <cols>
    <col min="1" max="1" width="1.453125" style="13" customWidth="1"/>
    <col min="2" max="2" width="20.453125" style="13" customWidth="1"/>
    <col min="3" max="3" width="28.7265625" style="13" customWidth="1"/>
    <col min="4" max="5" width="15.7265625" style="13" customWidth="1"/>
    <col min="6" max="6" width="22.26953125" style="13" customWidth="1"/>
    <col min="7" max="7" width="18.36328125" style="13" customWidth="1"/>
    <col min="8" max="8" width="18" style="13" customWidth="1"/>
    <col min="9" max="9" width="17.81640625" style="13" customWidth="1"/>
    <col min="10" max="10" width="14.54296875" style="13" customWidth="1"/>
    <col min="11" max="11" width="25.81640625" style="13" customWidth="1"/>
    <col min="12" max="12" width="16.7265625" style="13" customWidth="1"/>
    <col min="13" max="13" width="24.1796875" style="13" customWidth="1"/>
    <col min="14" max="14" width="17.1796875" style="13" customWidth="1"/>
    <col min="15" max="15" width="17.81640625" style="13" customWidth="1"/>
    <col min="16" max="16" width="12.7265625" style="13" bestFit="1" customWidth="1"/>
    <col min="17" max="17" width="18.90625" style="13" customWidth="1"/>
    <col min="18" max="18" width="17.81640625" style="13" customWidth="1"/>
    <col min="19" max="19" width="24.1796875" style="13" customWidth="1"/>
    <col min="20" max="20" width="19.81640625" style="13" customWidth="1"/>
    <col min="21" max="21" width="16.453125" style="13" customWidth="1"/>
    <col min="22" max="22" width="18.36328125" style="13" bestFit="1" customWidth="1"/>
    <col min="23" max="23" width="16.7265625" style="13" customWidth="1"/>
    <col min="24" max="24" width="25.54296875" style="13" customWidth="1"/>
    <col min="25" max="25" width="11.26953125" style="13" bestFit="1" customWidth="1"/>
    <col min="26" max="26" width="15.26953125" style="13" bestFit="1" customWidth="1"/>
    <col min="27" max="27" width="13.453125" style="13" bestFit="1" customWidth="1"/>
    <col min="28" max="28" width="11.26953125" style="13" bestFit="1" customWidth="1"/>
    <col min="29" max="16384" width="9.1796875" style="13"/>
  </cols>
  <sheetData>
    <row r="1" spans="1:29" x14ac:dyDescent="0.3">
      <c r="A1" s="15" t="s">
        <v>171</v>
      </c>
    </row>
    <row r="3" spans="1:29" x14ac:dyDescent="0.3">
      <c r="C3" s="33" t="s">
        <v>1</v>
      </c>
      <c r="D3" s="33" t="s">
        <v>1</v>
      </c>
      <c r="E3" s="33" t="s">
        <v>1</v>
      </c>
      <c r="F3" s="33" t="s">
        <v>1</v>
      </c>
      <c r="G3" s="33" t="s">
        <v>1</v>
      </c>
      <c r="H3" s="33" t="s">
        <v>1</v>
      </c>
      <c r="I3" s="33" t="s">
        <v>1</v>
      </c>
      <c r="J3" s="33" t="s">
        <v>1</v>
      </c>
      <c r="K3" s="33" t="s">
        <v>1</v>
      </c>
      <c r="L3" s="33" t="s">
        <v>1</v>
      </c>
      <c r="M3" s="33" t="s">
        <v>1</v>
      </c>
      <c r="N3" s="33" t="s">
        <v>1</v>
      </c>
      <c r="O3" s="33" t="s">
        <v>1</v>
      </c>
      <c r="P3" s="33" t="s">
        <v>1</v>
      </c>
      <c r="Q3" s="33" t="s">
        <v>1</v>
      </c>
      <c r="R3" s="33" t="s">
        <v>1</v>
      </c>
      <c r="S3" s="33" t="s">
        <v>1</v>
      </c>
      <c r="T3" s="33" t="s">
        <v>1</v>
      </c>
      <c r="U3" s="33" t="s">
        <v>1</v>
      </c>
      <c r="V3" s="38"/>
      <c r="W3" s="181" t="s">
        <v>172</v>
      </c>
      <c r="X3" s="181"/>
      <c r="Y3" s="181"/>
      <c r="Z3" s="181"/>
      <c r="AA3" s="181"/>
    </row>
    <row r="4" spans="1:29" x14ac:dyDescent="0.3">
      <c r="B4" s="15" t="s">
        <v>173</v>
      </c>
      <c r="C4" s="14" t="str">
        <f>'Consolidated SCF'!E3</f>
        <v>Q2 2018</v>
      </c>
      <c r="D4" s="14" t="str">
        <f>'Consolidated SCF'!F3</f>
        <v>Q3 2018</v>
      </c>
      <c r="E4" s="14" t="str">
        <f>'Consolidated SCF'!G3</f>
        <v>Q4 2018</v>
      </c>
      <c r="F4" s="14" t="str">
        <f>'Consolidated SCF'!H3</f>
        <v>Q1 2019</v>
      </c>
      <c r="G4" s="14" t="str">
        <f>'Consolidated SCF'!I3</f>
        <v>Q2 2019</v>
      </c>
      <c r="H4" s="14" t="str">
        <f>'Consolidated SCF'!J3</f>
        <v>Q3 2019</v>
      </c>
      <c r="I4" s="14" t="str">
        <f>'Consolidated SCF'!K3</f>
        <v>Q4 2019</v>
      </c>
      <c r="J4" s="14" t="str">
        <f>'Consolidated SCF'!L3</f>
        <v>Q1 2020</v>
      </c>
      <c r="K4" s="14" t="str">
        <f>'Consolidated SCF'!M3</f>
        <v>Q2 2020</v>
      </c>
      <c r="L4" s="14" t="str">
        <f>'Consolidated SCF'!N3</f>
        <v>Q3 2020</v>
      </c>
      <c r="M4" s="14" t="str">
        <f>'Consolidated SCF'!O3</f>
        <v>Q4 2020</v>
      </c>
      <c r="N4" s="14" t="str">
        <f>'Consolidated SCF'!P3</f>
        <v>Q1 2021</v>
      </c>
      <c r="O4" s="14" t="str">
        <f>'Consolidated SCF'!Q3</f>
        <v>Q2 2021</v>
      </c>
      <c r="P4" s="14" t="str">
        <f>'Consolidated SCF'!R3</f>
        <v>Q3 2021</v>
      </c>
      <c r="Q4" s="14" t="str">
        <f>'Consolidated SCF'!S3</f>
        <v>Q4 2021</v>
      </c>
      <c r="R4" s="14" t="str">
        <f>'Consolidated SCF'!T3</f>
        <v>Q1 2022</v>
      </c>
      <c r="S4" s="14" t="str">
        <f>'Consolidated SCF'!U3</f>
        <v>Q2 2022</v>
      </c>
      <c r="T4" s="14" t="str">
        <f>'Consolidated SCF'!V3</f>
        <v>Q3 2022</v>
      </c>
      <c r="U4" s="14" t="str">
        <f>'Consolidated SCF'!W3</f>
        <v>Q4 2022</v>
      </c>
      <c r="W4" s="34">
        <v>2018</v>
      </c>
      <c r="X4" s="34">
        <v>2019</v>
      </c>
      <c r="Y4" s="34">
        <v>2020</v>
      </c>
      <c r="Z4" s="34">
        <v>2021</v>
      </c>
      <c r="AA4" s="34">
        <v>2022</v>
      </c>
      <c r="AB4" s="14"/>
    </row>
    <row r="5" spans="1:29" x14ac:dyDescent="0.3">
      <c r="B5" s="13" t="s">
        <v>175</v>
      </c>
      <c r="C5" s="17">
        <f>'DCF Growth'!C5</f>
        <v>229659.66556304559</v>
      </c>
      <c r="D5" s="17">
        <f>'DCF Growth'!D5</f>
        <v>200446.23653515251</v>
      </c>
      <c r="E5" s="17">
        <f>'DCF Growth'!E5</f>
        <v>291487.20127420488</v>
      </c>
      <c r="F5" s="17">
        <f>'DCF Growth'!F5</f>
        <v>297338.30152117182</v>
      </c>
      <c r="G5" s="17">
        <f>'DCF Growth'!G5</f>
        <v>391482.35781271727</v>
      </c>
      <c r="H5" s="17">
        <f>'DCF Growth'!H5</f>
        <v>355758.6178992397</v>
      </c>
      <c r="I5" s="17">
        <f>'DCF Growth'!I5</f>
        <v>463208.15014234709</v>
      </c>
      <c r="J5" s="17">
        <f>'DCF Growth'!J5</f>
        <v>431114.91846385924</v>
      </c>
      <c r="K5" s="17">
        <f>'DCF Growth'!K5</f>
        <v>535524.46453125554</v>
      </c>
      <c r="L5" s="17">
        <f>'DCF Growth'!L5</f>
        <v>494509.34495049698</v>
      </c>
      <c r="M5" s="17">
        <f>'DCF Growth'!M5</f>
        <v>608537.90571928606</v>
      </c>
      <c r="N5" s="17">
        <f>'DCF Growth'!N5</f>
        <v>552241.84483884054</v>
      </c>
      <c r="O5" s="17">
        <f>'DCF Growth'!O5</f>
        <v>661230.47574746073</v>
      </c>
      <c r="P5" s="17">
        <f>'DCF Growth'!P5</f>
        <v>610010.15745272755</v>
      </c>
      <c r="Q5" s="17">
        <f>'DCF Growth'!Q5</f>
        <v>728718.77175331512</v>
      </c>
      <c r="R5" s="17">
        <f>'DCF Growth'!R5</f>
        <v>673190.19301696599</v>
      </c>
      <c r="S5" s="17">
        <f>'DCF Growth'!S5</f>
        <v>781506.18159814051</v>
      </c>
      <c r="T5" s="17">
        <f>'DCF Growth'!T5</f>
        <v>723719.99011762475</v>
      </c>
      <c r="U5" s="17">
        <f>'DCF Growth'!U5</f>
        <v>840918.93339402997</v>
      </c>
      <c r="W5" s="16">
        <f>SUM(C5:E5)</f>
        <v>721593.10337240295</v>
      </c>
      <c r="X5" s="16">
        <f>SUM(F5:I5)</f>
        <v>1507787.4273754759</v>
      </c>
      <c r="Y5" s="16">
        <f>SUM(J5:M5)</f>
        <v>2069686.6336648979</v>
      </c>
      <c r="Z5" s="16">
        <f>SUM(N5:Q5)</f>
        <v>2552201.2497923439</v>
      </c>
      <c r="AA5" s="16">
        <f>SUM(R5:U5)</f>
        <v>3019335.2981267609</v>
      </c>
      <c r="AB5" s="16"/>
      <c r="AC5" s="16"/>
    </row>
    <row r="6" spans="1:29" x14ac:dyDescent="0.3">
      <c r="B6" s="13" t="s">
        <v>176</v>
      </c>
      <c r="C6" s="17">
        <f>'DCF Growth'!C6</f>
        <v>147872.20644593667</v>
      </c>
      <c r="D6" s="17">
        <f>'DCF Growth'!D6</f>
        <v>149304.34577094522</v>
      </c>
      <c r="E6" s="17">
        <f>'DCF Growth'!E6</f>
        <v>150766.89304174809</v>
      </c>
      <c r="F6" s="17">
        <f>'DCF Growth'!F6</f>
        <v>155966.88072397743</v>
      </c>
      <c r="G6" s="17">
        <f>'DCF Growth'!G6</f>
        <v>157560.81905753395</v>
      </c>
      <c r="H6" s="17">
        <f>'DCF Growth'!H6</f>
        <v>164217.42970133643</v>
      </c>
      <c r="I6" s="17">
        <f>'DCF Growth'!I6</f>
        <v>166080.94956064469</v>
      </c>
      <c r="J6" s="17">
        <f>'DCF Growth'!J6</f>
        <v>171655.9410764529</v>
      </c>
      <c r="K6" s="17">
        <f>'DCF Growth'!K6</f>
        <v>173668.67425001002</v>
      </c>
      <c r="L6" s="17">
        <f>'DCF Growth'!L6</f>
        <v>180686.06852255753</v>
      </c>
      <c r="M6" s="17">
        <f>'DCF Growth'!M6</f>
        <v>182874.21379917872</v>
      </c>
      <c r="N6" s="17">
        <f>'DCF Growth'!N6</f>
        <v>186885.44425639889</v>
      </c>
      <c r="O6" s="17">
        <f>'DCF Growth'!O6</f>
        <v>189328.93506915218</v>
      </c>
      <c r="P6" s="17">
        <f>'DCF Growth'!P6</f>
        <v>198442.31690496532</v>
      </c>
      <c r="Q6" s="17">
        <f>'DCF Growth'!Q6</f>
        <v>201087.13338095433</v>
      </c>
      <c r="R6" s="17">
        <f>'DCF Growth'!R6</f>
        <v>205553.47495125007</v>
      </c>
      <c r="S6" s="17">
        <f>'DCF Growth'!S6</f>
        <v>208297.82868943043</v>
      </c>
      <c r="T6" s="17">
        <f>'DCF Growth'!T6</f>
        <v>219377.78492882859</v>
      </c>
      <c r="U6" s="17">
        <f>'DCF Growth'!U6</f>
        <v>222342.90678170702</v>
      </c>
      <c r="W6" s="16">
        <f t="shared" ref="W6:W9" si="0">SUM(C6:E6)</f>
        <v>447943.44525862997</v>
      </c>
      <c r="X6" s="16">
        <f t="shared" ref="X6:X9" si="1">SUM(F6:I6)</f>
        <v>643826.07904349244</v>
      </c>
      <c r="Y6" s="16">
        <f t="shared" ref="Y6:Y9" si="2">SUM(J6:M6)</f>
        <v>708884.89764819911</v>
      </c>
      <c r="Z6" s="16">
        <f t="shared" ref="Z6:Z9" si="3">SUM(N6:Q6)</f>
        <v>775743.82961147069</v>
      </c>
      <c r="AA6" s="16">
        <f t="shared" ref="AA6:AA9" si="4">SUM(R6:U6)</f>
        <v>855571.99535121606</v>
      </c>
      <c r="AB6" s="16"/>
      <c r="AC6" s="184"/>
    </row>
    <row r="7" spans="1:29" x14ac:dyDescent="0.3">
      <c r="B7" s="13" t="s">
        <v>177</v>
      </c>
      <c r="C7" s="17">
        <f>'DCF Growth'!C7</f>
        <v>-225880.64216644279</v>
      </c>
      <c r="D7" s="17">
        <f>'DCF Growth'!D7</f>
        <v>-227000.7940163821</v>
      </c>
      <c r="E7" s="17">
        <f>'DCF Growth'!E7</f>
        <v>-337175.44389382331</v>
      </c>
      <c r="F7" s="17">
        <f>'DCF Growth'!F7</f>
        <v>-242648.64330649</v>
      </c>
      <c r="G7" s="17">
        <f>'DCF Growth'!G7</f>
        <v>-547131.72754568094</v>
      </c>
      <c r="H7" s="17">
        <f>'DCF Growth'!H7</f>
        <v>-263897.8857943404</v>
      </c>
      <c r="I7" s="17">
        <f>'DCF Growth'!I7</f>
        <v>-373107.33226918115</v>
      </c>
      <c r="J7" s="17">
        <f>'DCF Growth'!J7</f>
        <v>-281079.71843030216</v>
      </c>
      <c r="K7" s="17">
        <f>'DCF Growth'!K7</f>
        <v>-583017.95739971439</v>
      </c>
      <c r="L7" s="17">
        <f>'DCF Growth'!L7</f>
        <v>-298276.11694266822</v>
      </c>
      <c r="M7" s="17">
        <f>'DCF Growth'!M7</f>
        <v>-352332.12378862139</v>
      </c>
      <c r="N7" s="17">
        <f>'DCF Growth'!N7</f>
        <v>-318044.9984730017</v>
      </c>
      <c r="O7" s="17">
        <f>'DCF Growth'!O7</f>
        <v>-720335.23163015116</v>
      </c>
      <c r="P7" s="17">
        <f>'DCF Growth'!P7</f>
        <v>-339050.20997446356</v>
      </c>
      <c r="Q7" s="17">
        <f>'DCF Growth'!Q7</f>
        <v>-393478.43374133593</v>
      </c>
      <c r="R7" s="17">
        <f>'DCF Growth'!R7</f>
        <v>-351927.78594126884</v>
      </c>
      <c r="S7" s="17">
        <f>'DCF Growth'!S7</f>
        <v>-854465.11623083474</v>
      </c>
      <c r="T7" s="17">
        <f>'DCF Growth'!T7</f>
        <v>-376160.75483257894</v>
      </c>
      <c r="U7" s="17">
        <f>'DCF Growth'!U7</f>
        <v>-430851.18906591466</v>
      </c>
      <c r="W7" s="16">
        <f t="shared" si="0"/>
        <v>-790056.8800766482</v>
      </c>
      <c r="X7" s="16">
        <f t="shared" si="1"/>
        <v>-1426785.5889156926</v>
      </c>
      <c r="Y7" s="16">
        <f t="shared" si="2"/>
        <v>-1514705.916561306</v>
      </c>
      <c r="Z7" s="16">
        <f t="shared" si="3"/>
        <v>-1770908.8738189524</v>
      </c>
      <c r="AA7" s="16">
        <f t="shared" si="4"/>
        <v>-2013404.8460705969</v>
      </c>
      <c r="AB7" s="16"/>
      <c r="AC7" s="184"/>
    </row>
    <row r="8" spans="1:29" ht="15.5" x14ac:dyDescent="0.45">
      <c r="B8" s="44" t="s">
        <v>178</v>
      </c>
      <c r="C8" s="17">
        <f>'DCF Growth'!C8</f>
        <v>-116487.65092181694</v>
      </c>
      <c r="D8" s="17">
        <f>'DCF Growth'!D8</f>
        <v>19131.203266307246</v>
      </c>
      <c r="E8" s="17">
        <f>'DCF Growth'!E8</f>
        <v>-132730.31675016996</v>
      </c>
      <c r="F8" s="17">
        <f>'DCF Growth'!F8</f>
        <v>18170.618468367029</v>
      </c>
      <c r="G8" s="17">
        <f>'DCF Growth'!G8</f>
        <v>-124872.40786265745</v>
      </c>
      <c r="H8" s="17">
        <f>'DCF Growth'!H8</f>
        <v>23232.819267001236</v>
      </c>
      <c r="I8" s="17">
        <f>'DCF Growth'!I8</f>
        <v>-145004.85004698578</v>
      </c>
      <c r="J8" s="17">
        <f>'DCF Growth'!J8</f>
        <v>30624.185792932287</v>
      </c>
      <c r="K8" s="17">
        <f>'DCF Growth'!K8</f>
        <v>-140266.70239642286</v>
      </c>
      <c r="L8" s="17">
        <f>'DCF Growth'!L8</f>
        <v>26538.487043256871</v>
      </c>
      <c r="M8" s="17">
        <f>'DCF Growth'!M8</f>
        <v>-154412.61248347512</v>
      </c>
      <c r="N8" s="17">
        <f>'DCF Growth'!N8</f>
        <v>43606.730597528396</v>
      </c>
      <c r="O8" s="17">
        <f>'DCF Growth'!O8</f>
        <v>-147597.86773560918</v>
      </c>
      <c r="P8" s="17">
        <f>'DCF Growth'!P8</f>
        <v>28259.342472109944</v>
      </c>
      <c r="Q8" s="17">
        <f>'DCF Growth'!Q8</f>
        <v>-161634.56055332301</v>
      </c>
      <c r="R8" s="17">
        <f>'DCF Growth'!R8</f>
        <v>55895.286350722658</v>
      </c>
      <c r="S8" s="17">
        <f>'DCF Growth'!S8</f>
        <v>-148927.20231178985</v>
      </c>
      <c r="T8" s="17">
        <f>'DCF Growth'!T8</f>
        <v>32101.443732745014</v>
      </c>
      <c r="U8" s="17">
        <f>'DCF Growth'!U8</f>
        <v>-161793.74485383229</v>
      </c>
      <c r="W8" s="16">
        <f t="shared" si="0"/>
        <v>-230086.76440567966</v>
      </c>
      <c r="X8" s="16">
        <f t="shared" si="1"/>
        <v>-228473.82017427497</v>
      </c>
      <c r="Y8" s="16">
        <f t="shared" si="2"/>
        <v>-237516.64204370882</v>
      </c>
      <c r="Z8" s="16">
        <f t="shared" si="3"/>
        <v>-237366.35521929385</v>
      </c>
      <c r="AA8" s="16">
        <f>SUM(R8:U8)</f>
        <v>-222724.21708215447</v>
      </c>
      <c r="AB8" s="36"/>
      <c r="AC8" s="16"/>
    </row>
    <row r="9" spans="1:29" x14ac:dyDescent="0.3">
      <c r="B9" s="15" t="s">
        <v>179</v>
      </c>
      <c r="C9" s="17">
        <f>'DCF Growth'!C9</f>
        <v>35163.578920722503</v>
      </c>
      <c r="D9" s="17">
        <f>'DCF Growth'!D9</f>
        <v>141880.99155602287</v>
      </c>
      <c r="E9" s="17">
        <f>'DCF Growth'!E9</f>
        <v>-27651.666328040301</v>
      </c>
      <c r="F9" s="17">
        <f>'DCF Growth'!F9</f>
        <v>228827.1574070263</v>
      </c>
      <c r="G9" s="17">
        <f>'DCF Growth'!G9</f>
        <v>-122960.9585380872</v>
      </c>
      <c r="H9" s="17">
        <f>'DCF Growth'!H9</f>
        <v>279310.98107323697</v>
      </c>
      <c r="I9" s="17">
        <f>'DCF Growth'!I9</f>
        <v>111176.91738682485</v>
      </c>
      <c r="J9" s="17">
        <f>'DCF Growth'!J9</f>
        <v>352315.32690294221</v>
      </c>
      <c r="K9" s="17">
        <f>'DCF Growth'!K9</f>
        <v>-14091.521014871658</v>
      </c>
      <c r="L9" s="17">
        <f>'DCF Growth'!L9</f>
        <v>403457.78357364319</v>
      </c>
      <c r="M9" s="17">
        <f>'DCF Growth'!M9</f>
        <v>284667.38324636826</v>
      </c>
      <c r="N9" s="17">
        <f>'DCF Growth'!N9</f>
        <v>464689.02121976617</v>
      </c>
      <c r="O9" s="17">
        <f>'DCF Growth'!O9</f>
        <v>-17373.688549147453</v>
      </c>
      <c r="P9" s="17">
        <f>'DCF Growth'!P9</f>
        <v>497661.60685533925</v>
      </c>
      <c r="Q9" s="17">
        <f>'DCF Growth'!Q9</f>
        <v>374692.9108396105</v>
      </c>
      <c r="R9" s="17">
        <f>'DCF Growth'!R9</f>
        <v>582711.16837766999</v>
      </c>
      <c r="S9" s="17">
        <f>'DCF Growth'!S9</f>
        <v>-13588.308255053591</v>
      </c>
      <c r="T9" s="17">
        <f>'DCF Growth'!T9</f>
        <v>599038.46394661942</v>
      </c>
      <c r="U9" s="17">
        <f>'DCF Growth'!U9</f>
        <v>470616.90625599003</v>
      </c>
      <c r="W9" s="16">
        <f t="shared" si="0"/>
        <v>149392.90414870507</v>
      </c>
      <c r="X9" s="16">
        <f t="shared" si="1"/>
        <v>496354.09732900094</v>
      </c>
      <c r="Y9" s="16">
        <f t="shared" si="2"/>
        <v>1026348.9727080821</v>
      </c>
      <c r="Z9" s="16">
        <f t="shared" si="3"/>
        <v>1319669.8503655684</v>
      </c>
      <c r="AA9" s="16">
        <f t="shared" si="4"/>
        <v>1638778.230325226</v>
      </c>
      <c r="AB9" s="16"/>
      <c r="AC9" s="16"/>
    </row>
    <row r="10" spans="1:29" x14ac:dyDescent="0.3">
      <c r="B10" s="13" t="s">
        <v>180</v>
      </c>
      <c r="C10" s="16">
        <f>C$9/(1+'DCF Growth'!$C$14)^C$11</f>
        <v>34341.910626375808</v>
      </c>
      <c r="D10" s="97">
        <f>D$9/(1+'DCF Growth'!$C$14)^D$11</f>
        <v>135327.7872325826</v>
      </c>
      <c r="E10" s="97">
        <f>E$9/(1+'DCF Growth'!$C$14)^E$11</f>
        <v>-25758.19675136968</v>
      </c>
      <c r="F10" s="97">
        <f>F$9/(1+'DCF Growth'!$C$14)^F$11</f>
        <v>208177.16841556891</v>
      </c>
      <c r="G10" s="97">
        <f>G$9/(1+'DCF Growth'!$C$14)^G$11</f>
        <v>-109250.68138858475</v>
      </c>
      <c r="H10" s="97">
        <f>H$9/(1+'DCF Growth'!$C$14)^H$11</f>
        <v>242368.57386574251</v>
      </c>
      <c r="I10" s="97">
        <f>I$9/(1+'DCF Growth'!$C$14)^I$11</f>
        <v>94218.092649774364</v>
      </c>
      <c r="J10" s="97">
        <f>J$9/(1+'DCF Growth'!$C$14)^J$11</f>
        <v>291596.69661002542</v>
      </c>
      <c r="K10" s="97">
        <f>K$9/(1+'DCF Growth'!$C$14)^K$11</f>
        <v>-11390.435217159797</v>
      </c>
      <c r="L10" s="97">
        <f>L$9/(1+'DCF Growth'!$C$14)^L$11</f>
        <v>318501.82629132411</v>
      </c>
      <c r="M10" s="97">
        <f>M$9/(1+'DCF Growth'!$C$14)^M$11</f>
        <v>219473.92000854135</v>
      </c>
      <c r="N10" s="97">
        <f>N$9/(1+'DCF Growth'!$C$14)^N$11</f>
        <v>349896.02298360347</v>
      </c>
      <c r="O10" s="97">
        <f>O$9/(1+'DCF Growth'!$C$14)^O$11</f>
        <v>-12776.150203342278</v>
      </c>
      <c r="P10" s="97">
        <f>P$9/(1+'DCF Growth'!$C$14)^P$11</f>
        <v>357415.59454967448</v>
      </c>
      <c r="Q10" s="97">
        <f>Q$9/(1+'DCF Growth'!$C$14)^Q$11</f>
        <v>262812.62206990301</v>
      </c>
      <c r="R10" s="97">
        <f>R$9/(1+'DCF Growth'!$C$14)^R$11</f>
        <v>399167.76987394632</v>
      </c>
      <c r="S10" s="97">
        <f>S$9/(1+'DCF Growth'!$C$14)^S$11</f>
        <v>-9090.7329266531542</v>
      </c>
      <c r="T10" s="97">
        <f>T$9/(1+'DCF Growth'!$C$14)^T$11</f>
        <v>391398.89977393963</v>
      </c>
      <c r="U10" s="97">
        <f>U$9/(1+'DCF Growth'!$C$14)^U$11</f>
        <v>300305.85443430027</v>
      </c>
    </row>
    <row r="11" spans="1:29" x14ac:dyDescent="0.3">
      <c r="C11" s="13">
        <v>0.25</v>
      </c>
      <c r="D11" s="13">
        <v>0.5</v>
      </c>
      <c r="E11" s="13">
        <v>0.75</v>
      </c>
      <c r="F11" s="13">
        <v>1</v>
      </c>
      <c r="G11" s="13">
        <v>1.25</v>
      </c>
      <c r="H11" s="13">
        <v>1.5</v>
      </c>
      <c r="I11" s="13">
        <v>1.75</v>
      </c>
      <c r="J11" s="13">
        <v>2</v>
      </c>
      <c r="K11" s="13">
        <v>2.25</v>
      </c>
      <c r="L11" s="13">
        <v>2.5</v>
      </c>
      <c r="M11" s="13">
        <v>2.75</v>
      </c>
      <c r="N11" s="13">
        <v>3</v>
      </c>
      <c r="O11" s="13">
        <v>3.25</v>
      </c>
      <c r="P11" s="13">
        <v>3.5</v>
      </c>
      <c r="Q11" s="13">
        <v>3.75</v>
      </c>
      <c r="R11" s="13">
        <v>4</v>
      </c>
      <c r="S11" s="13">
        <v>4.25</v>
      </c>
      <c r="T11" s="13">
        <v>4.5</v>
      </c>
      <c r="U11" s="13">
        <v>4.75</v>
      </c>
      <c r="Z11" s="114" t="s">
        <v>181</v>
      </c>
      <c r="AA11" s="114">
        <f>D14*G14</f>
        <v>46996243.11565759</v>
      </c>
    </row>
    <row r="12" spans="1:29" x14ac:dyDescent="0.3">
      <c r="K12" s="41"/>
    </row>
    <row r="13" spans="1:29" x14ac:dyDescent="0.3">
      <c r="K13" s="105"/>
      <c r="W13" s="113" t="s">
        <v>186</v>
      </c>
      <c r="X13" s="170">
        <f>SUM(C10:U10)</f>
        <v>3436736.5428981925</v>
      </c>
    </row>
    <row r="14" spans="1:29" x14ac:dyDescent="0.3">
      <c r="C14" s="165" t="s">
        <v>195</v>
      </c>
      <c r="D14" s="165">
        <f>SUM('Consolidated P&amp;L'!W6:Z6)+SUM('Consolidated P&amp;L'!W9:Z9)</f>
        <v>5295770.9631846882</v>
      </c>
      <c r="F14" s="166" t="s">
        <v>196</v>
      </c>
      <c r="G14" s="167">
        <f>(0.4*T30)+(0.6*T31)</f>
        <v>8.8742967629014906</v>
      </c>
      <c r="I14" s="186" t="s">
        <v>197</v>
      </c>
      <c r="J14" s="186"/>
      <c r="K14" s="106"/>
      <c r="W14" s="113" t="s">
        <v>190</v>
      </c>
      <c r="X14" s="113">
        <f>(AA11)/(1+'DCF Growth'!$C$14)^4.75</f>
        <v>29988822.663274266</v>
      </c>
    </row>
    <row r="15" spans="1:29" x14ac:dyDescent="0.3">
      <c r="C15" s="165" t="s">
        <v>198</v>
      </c>
      <c r="D15" s="165">
        <f>SUM('Consolidated P&amp;L'!D6:G6)+SUM('Consolidated P&amp;L'!D9:G9)</f>
        <v>1367497.4654399999</v>
      </c>
      <c r="F15" s="166" t="s">
        <v>199</v>
      </c>
      <c r="G15" s="167">
        <f>(0.4*T28)+(0.6*T29)</f>
        <v>23.796278361962845</v>
      </c>
      <c r="I15" s="113" t="s">
        <v>193</v>
      </c>
      <c r="J15" s="115">
        <f>D15*((0.4*T28)+(0.6*T29))</f>
        <v>32541350.346888904</v>
      </c>
    </row>
    <row r="16" spans="1:29" x14ac:dyDescent="0.3">
      <c r="W16" s="113" t="s">
        <v>193</v>
      </c>
      <c r="X16" s="170">
        <f>X13+X14</f>
        <v>33425559.206172459</v>
      </c>
    </row>
    <row r="18" spans="3:25" x14ac:dyDescent="0.3">
      <c r="D18" s="105"/>
    </row>
    <row r="19" spans="3:25" x14ac:dyDescent="0.3">
      <c r="D19" s="105"/>
      <c r="G19" s="105"/>
    </row>
    <row r="24" spans="3:25" x14ac:dyDescent="0.3">
      <c r="C24" s="139" t="s">
        <v>78</v>
      </c>
      <c r="D24" s="123" t="s">
        <v>228</v>
      </c>
      <c r="E24" s="123" t="s">
        <v>242</v>
      </c>
      <c r="F24" s="123" t="s">
        <v>243</v>
      </c>
      <c r="G24" s="123" t="s">
        <v>231</v>
      </c>
      <c r="H24" s="123" t="s">
        <v>75</v>
      </c>
      <c r="I24" s="123" t="s">
        <v>68</v>
      </c>
      <c r="J24" s="123" t="s">
        <v>184</v>
      </c>
      <c r="K24" s="123"/>
      <c r="L24" s="123" t="s">
        <v>234</v>
      </c>
      <c r="M24" s="123" t="s">
        <v>200</v>
      </c>
      <c r="N24" s="123" t="s">
        <v>244</v>
      </c>
      <c r="Q24" s="185" t="s">
        <v>202</v>
      </c>
      <c r="R24" s="185"/>
      <c r="S24" s="185"/>
      <c r="T24" s="185"/>
      <c r="V24" s="185" t="s">
        <v>203</v>
      </c>
      <c r="W24" s="185"/>
      <c r="X24" s="185"/>
      <c r="Y24" s="185"/>
    </row>
    <row r="25" spans="3:25" x14ac:dyDescent="0.3">
      <c r="C25" s="162" t="s">
        <v>79</v>
      </c>
      <c r="D25" s="162">
        <v>17.46</v>
      </c>
      <c r="E25" s="162">
        <v>8113783</v>
      </c>
      <c r="F25" s="162">
        <v>17000000</v>
      </c>
      <c r="G25" s="162">
        <v>32043263</v>
      </c>
      <c r="H25" s="162">
        <v>1.6220000000000001</v>
      </c>
      <c r="I25" s="162">
        <v>0.375</v>
      </c>
      <c r="J25" s="163">
        <f t="shared" ref="J25:J31" si="5">$F25/($D25*$E25)</f>
        <v>0.12000001311811907</v>
      </c>
      <c r="K25" s="162" t="s">
        <v>80</v>
      </c>
      <c r="L25" s="164">
        <v>1.5088371977947059</v>
      </c>
      <c r="M25" s="168">
        <f>(COMPS!$D6*COMPS!$E6)+COMPS!$F6</f>
        <v>158666651.18000001</v>
      </c>
      <c r="N25" s="169">
        <f t="shared" ref="N25:N31" si="6">$M25/$G25</f>
        <v>4.9516383890117561</v>
      </c>
      <c r="Q25" s="132"/>
      <c r="R25" s="123" t="s">
        <v>234</v>
      </c>
      <c r="S25" s="123" t="s">
        <v>200</v>
      </c>
      <c r="T25" s="123" t="s">
        <v>244</v>
      </c>
      <c r="V25" s="123"/>
      <c r="W25" s="123" t="s">
        <v>234</v>
      </c>
      <c r="X25" s="123" t="s">
        <v>200</v>
      </c>
      <c r="Y25" s="123" t="s">
        <v>201</v>
      </c>
    </row>
    <row r="26" spans="3:25" x14ac:dyDescent="0.3">
      <c r="C26" s="159" t="s">
        <v>81</v>
      </c>
      <c r="D26" s="159">
        <v>53.91</v>
      </c>
      <c r="E26" s="159">
        <v>1138260</v>
      </c>
      <c r="F26" s="159">
        <v>13500000</v>
      </c>
      <c r="G26" s="159">
        <v>12645489</v>
      </c>
      <c r="H26" s="159">
        <v>1.5509999999999999</v>
      </c>
      <c r="I26" s="159">
        <v>0.34</v>
      </c>
      <c r="J26" s="160">
        <f t="shared" si="5"/>
        <v>0.2200001425600924</v>
      </c>
      <c r="K26" s="159" t="s">
        <v>80</v>
      </c>
      <c r="L26" s="164">
        <v>1.3543484741266252</v>
      </c>
      <c r="M26" s="168">
        <f>(COMPS!$D7*COMPS!$E7)+COMPS!$F7</f>
        <v>74863596.599999994</v>
      </c>
      <c r="N26" s="169">
        <f t="shared" si="6"/>
        <v>5.9201820190583376</v>
      </c>
      <c r="Q26" s="132" t="s">
        <v>204</v>
      </c>
      <c r="R26" s="164">
        <f>AVERAGE(L$28, L30:L31)</f>
        <v>1.4997232691610574</v>
      </c>
      <c r="S26" s="171">
        <f>AVERAGE(M$28, M30:M31)</f>
        <v>40240091.293333337</v>
      </c>
      <c r="T26" s="169">
        <f>AVERAGE(N$28, N30:N31)</f>
        <v>16.941937013462578</v>
      </c>
      <c r="V26" s="132" t="s">
        <v>204</v>
      </c>
      <c r="W26" s="164">
        <f>MEDIAN(L$28, R29:R30)</f>
        <v>1.2925921922077486</v>
      </c>
      <c r="X26" s="171">
        <f>MEDIAN(M$28, S29:S30)</f>
        <v>26379294.439999998</v>
      </c>
      <c r="Y26" s="169">
        <f>MEDIAN(N$28, T29:T30)</f>
        <v>18.879016846757803</v>
      </c>
    </row>
    <row r="27" spans="3:25" x14ac:dyDescent="0.3">
      <c r="C27" s="159" t="s">
        <v>82</v>
      </c>
      <c r="D27" s="159">
        <v>11.26</v>
      </c>
      <c r="E27" s="159">
        <v>9069952</v>
      </c>
      <c r="F27" s="159">
        <v>48000000</v>
      </c>
      <c r="G27" s="159">
        <v>39847189</v>
      </c>
      <c r="H27" s="159">
        <v>1.532</v>
      </c>
      <c r="I27" s="159">
        <v>0.38</v>
      </c>
      <c r="J27" s="160">
        <f t="shared" si="5"/>
        <v>0.47000000025066668</v>
      </c>
      <c r="K27" s="159" t="s">
        <v>80</v>
      </c>
      <c r="L27" s="164">
        <v>1.1863094314818272</v>
      </c>
      <c r="M27" s="168">
        <f>(COMPS!$D8*COMPS!$E8)+COMPS!$F8</f>
        <v>150127659.51999998</v>
      </c>
      <c r="N27" s="169">
        <f t="shared" si="6"/>
        <v>3.767584697630741</v>
      </c>
      <c r="Q27" s="132" t="s">
        <v>205</v>
      </c>
      <c r="R27" s="164">
        <f>AVERAGE(L$25:L$27, L$29, L$34)</f>
        <v>1.2321018156448553</v>
      </c>
      <c r="S27" s="164">
        <f>AVERAGE(M$25:M$27, M$29, M$34)</f>
        <v>137322182.764</v>
      </c>
      <c r="T27" s="164">
        <f>AVERAGE(N$25:N$27, N$29, N$34)</f>
        <v>6.3118146911490287</v>
      </c>
      <c r="V27" s="132" t="s">
        <v>205</v>
      </c>
      <c r="W27" s="164">
        <f>MEDIAN(L$25:L$27, L$29, R$26)</f>
        <v>1.3543484741266252</v>
      </c>
      <c r="X27" s="171">
        <f>MEDIAN(M$25:M$27, M$29, S$26)</f>
        <v>150127659.51999998</v>
      </c>
      <c r="Y27" s="169">
        <f>MEDIAN(N$25:N$27, N$29, T$26)</f>
        <v>5.4828895153903572</v>
      </c>
    </row>
    <row r="28" spans="3:25" x14ac:dyDescent="0.3">
      <c r="C28" s="159" t="s">
        <v>83</v>
      </c>
      <c r="D28" s="159">
        <v>27.01</v>
      </c>
      <c r="E28" s="159">
        <v>629396</v>
      </c>
      <c r="F28" s="159">
        <v>3400000</v>
      </c>
      <c r="G28" s="159">
        <v>1080564</v>
      </c>
      <c r="H28" s="159">
        <v>1.667</v>
      </c>
      <c r="I28" s="159">
        <v>0.36499999999999999</v>
      </c>
      <c r="J28" s="160">
        <f t="shared" si="5"/>
        <v>0.20000016517660699</v>
      </c>
      <c r="K28" s="159" t="s">
        <v>84</v>
      </c>
      <c r="L28" s="164">
        <v>1.4791480433508288</v>
      </c>
      <c r="M28" s="168">
        <f>(COMPS!$D9*COMPS!$E9)+COMPS!$F9</f>
        <v>20399985.960000001</v>
      </c>
      <c r="N28" s="169">
        <f t="shared" si="6"/>
        <v>18.879016846757803</v>
      </c>
      <c r="Q28" s="132" t="s">
        <v>206</v>
      </c>
      <c r="R28" s="164">
        <f>AVERAGE(L$28, L$30:L$31)</f>
        <v>1.4997232691610574</v>
      </c>
      <c r="S28" s="171">
        <f>AVERAGE(M$28, M$30:M$31)</f>
        <v>40240091.293333337</v>
      </c>
      <c r="T28" s="169">
        <f>AVERAGE(N$28, N$30:N$31)</f>
        <v>16.941937013462578</v>
      </c>
      <c r="V28" s="132" t="s">
        <v>206</v>
      </c>
      <c r="W28" s="164">
        <f>MEDIAN(L$28, L$30:L$31)</f>
        <v>1.4967234567467238</v>
      </c>
      <c r="X28" s="171">
        <f>MEDIAN(M$28, M$30:M$31)</f>
        <v>45964307.120000005</v>
      </c>
      <c r="Y28" s="169">
        <f>MEDIAN(N$28, N$30:N$31)</f>
        <v>16.467886398325703</v>
      </c>
    </row>
    <row r="29" spans="3:25" x14ac:dyDescent="0.3">
      <c r="C29" s="159" t="s">
        <v>85</v>
      </c>
      <c r="D29" s="159">
        <v>104.98</v>
      </c>
      <c r="E29" s="159">
        <v>1734457</v>
      </c>
      <c r="F29" s="159">
        <v>65550000</v>
      </c>
      <c r="G29" s="159">
        <v>45164743</v>
      </c>
      <c r="H29" s="159">
        <v>1.365</v>
      </c>
      <c r="I29" s="159">
        <v>0.39500000000000002</v>
      </c>
      <c r="J29" s="160">
        <f t="shared" si="5"/>
        <v>0.36000007408916856</v>
      </c>
      <c r="K29" s="159" t="s">
        <v>80</v>
      </c>
      <c r="L29" s="164">
        <v>1.1208736654278357</v>
      </c>
      <c r="M29" s="168">
        <f>(COMPS!$D10*COMPS!$E10)+COMPS!$F10</f>
        <v>247633295.86000001</v>
      </c>
      <c r="N29" s="169">
        <f t="shared" si="6"/>
        <v>5.4828895153903572</v>
      </c>
      <c r="Q29" s="132" t="s">
        <v>207</v>
      </c>
      <c r="R29" s="164">
        <f>AVERAGE(L$35)</f>
        <v>1.089788928282813</v>
      </c>
      <c r="S29" s="171">
        <f>AVERAGE(M$35)</f>
        <v>26379294.439999998</v>
      </c>
      <c r="T29" s="169">
        <f>AVERAGE(N$35)</f>
        <v>28.365839260963021</v>
      </c>
      <c r="V29" s="132" t="s">
        <v>207</v>
      </c>
      <c r="W29" s="164">
        <f>MEDIAN(L$35)</f>
        <v>1.089788928282813</v>
      </c>
      <c r="X29" s="171">
        <f>MEDIAN(M$35)</f>
        <v>26379294.439999998</v>
      </c>
      <c r="Y29" s="169">
        <f>MEDIAN(N$35)</f>
        <v>28.365839260963021</v>
      </c>
    </row>
    <row r="30" spans="3:25" x14ac:dyDescent="0.3">
      <c r="C30" s="159" t="s">
        <v>86</v>
      </c>
      <c r="D30" s="159">
        <v>19.440000000000001</v>
      </c>
      <c r="E30" s="159">
        <v>1876523</v>
      </c>
      <c r="F30" s="159">
        <v>9484700</v>
      </c>
      <c r="G30" s="159">
        <v>2969480</v>
      </c>
      <c r="H30" s="159">
        <v>1.7450000000000001</v>
      </c>
      <c r="I30" s="159">
        <v>0.36199999999999999</v>
      </c>
      <c r="J30" s="160">
        <f t="shared" si="5"/>
        <v>0.26000005890414313</v>
      </c>
      <c r="K30" s="159" t="s">
        <v>84</v>
      </c>
      <c r="L30" s="164">
        <v>1.4967234567467238</v>
      </c>
      <c r="M30" s="168">
        <f>(COMPS!$D11*COMPS!$E11)+COMPS!$F11</f>
        <v>45964307.120000005</v>
      </c>
      <c r="N30" s="169">
        <f t="shared" si="6"/>
        <v>15.478907795304229</v>
      </c>
      <c r="Q30" s="132" t="s">
        <v>208</v>
      </c>
      <c r="R30" s="164">
        <f>AVERAGE(L$25:L$27, L$29)</f>
        <v>1.2925921922077486</v>
      </c>
      <c r="S30" s="171">
        <f>AVERAGE(M$25:M$27, M$29)</f>
        <v>157822800.78999999</v>
      </c>
      <c r="T30" s="169">
        <f>AVERAGE(N$25:N$27, N$29)</f>
        <v>5.0305736552727982</v>
      </c>
      <c r="V30" s="132" t="s">
        <v>208</v>
      </c>
      <c r="W30" s="164">
        <f>MEDIAN(L$25:L$27, L$29)</f>
        <v>1.2703289528042263</v>
      </c>
      <c r="X30" s="171">
        <f>MEDIAN(M$25:M$27, M$29)</f>
        <v>154397155.34999999</v>
      </c>
      <c r="Y30" s="169">
        <f>MEDIAN(N$25:N$27, N$29)</f>
        <v>5.2172639522010567</v>
      </c>
    </row>
    <row r="31" spans="3:25" x14ac:dyDescent="0.3">
      <c r="C31" s="159" t="s">
        <v>87</v>
      </c>
      <c r="D31" s="159">
        <v>29.55</v>
      </c>
      <c r="E31" s="159">
        <v>1687576</v>
      </c>
      <c r="F31" s="159">
        <v>4488110</v>
      </c>
      <c r="G31" s="159">
        <v>3300726</v>
      </c>
      <c r="H31" s="159">
        <v>1.6120000000000001</v>
      </c>
      <c r="I31" s="159">
        <v>0.35299999999999998</v>
      </c>
      <c r="J31" s="160">
        <f t="shared" si="5"/>
        <v>9.0000032646270503E-2</v>
      </c>
      <c r="K31" s="159" t="s">
        <v>84</v>
      </c>
      <c r="L31" s="164">
        <v>1.5232983073856201</v>
      </c>
      <c r="M31" s="168">
        <f>(COMPS!$D12*COMPS!$E12)+COMPS!$F12</f>
        <v>54355980.800000004</v>
      </c>
      <c r="N31" s="169">
        <f t="shared" si="6"/>
        <v>16.467886398325703</v>
      </c>
      <c r="Q31" s="132" t="s">
        <v>209</v>
      </c>
      <c r="R31" s="164">
        <f>AVERAGE(L$34)</f>
        <v>0.99014030939328168</v>
      </c>
      <c r="S31" s="171">
        <f>AVERAGE(M$34)</f>
        <v>55319710.659999996</v>
      </c>
      <c r="T31" s="169">
        <f>AVERAGE(N$34)</f>
        <v>11.436778834653952</v>
      </c>
      <c r="V31" s="132" t="s">
        <v>209</v>
      </c>
      <c r="W31" s="164">
        <f>MEDIAN(L$34)</f>
        <v>0.99014030939328168</v>
      </c>
      <c r="X31" s="171">
        <f>MEDIAN(M$34)</f>
        <v>55319710.659999996</v>
      </c>
      <c r="Y31" s="169">
        <f>MEDIAN(N$34)</f>
        <v>11.436778834653952</v>
      </c>
    </row>
    <row r="32" spans="3:25" x14ac:dyDescent="0.3">
      <c r="C32" s="159"/>
      <c r="D32" s="159"/>
      <c r="E32" s="159"/>
      <c r="F32" s="159"/>
      <c r="G32" s="159"/>
      <c r="H32" s="159"/>
      <c r="I32" s="159"/>
      <c r="J32" s="160"/>
      <c r="K32" s="159"/>
      <c r="L32" s="164"/>
      <c r="M32" s="168"/>
      <c r="N32" s="169"/>
      <c r="Q32" s="114" t="s">
        <v>210</v>
      </c>
      <c r="R32" s="172">
        <f>AVERAGE(L$25:L$31)</f>
        <v>1.3813626537591668</v>
      </c>
      <c r="S32" s="173">
        <f>AVERAGE(M$25:M$31)</f>
        <v>107430211.00571427</v>
      </c>
      <c r="T32" s="174">
        <f>AVERAGE(N$25:N$31)</f>
        <v>10.135443665925562</v>
      </c>
      <c r="V32" s="114" t="s">
        <v>210</v>
      </c>
      <c r="W32" s="172">
        <f>MEDIAN(L$25:L$31)</f>
        <v>1.4791480433508288</v>
      </c>
      <c r="X32" s="173">
        <f>MEDIAN(M$25:M$31)</f>
        <v>74863596.599999994</v>
      </c>
      <c r="Y32" s="174">
        <f>MEDIAN(N$25:N$31)</f>
        <v>5.9201820190583376</v>
      </c>
    </row>
    <row r="33" spans="3:25" x14ac:dyDescent="0.3">
      <c r="C33" s="161" t="s">
        <v>88</v>
      </c>
      <c r="D33" s="159"/>
      <c r="E33" s="159"/>
      <c r="F33" s="159"/>
      <c r="G33" s="159"/>
      <c r="H33" s="159"/>
      <c r="I33" s="159"/>
      <c r="J33" s="160"/>
      <c r="K33" s="159"/>
      <c r="L33" s="164"/>
      <c r="M33" s="168"/>
      <c r="N33" s="169"/>
      <c r="Q33" s="114" t="s">
        <v>211</v>
      </c>
      <c r="R33" s="172">
        <f>AVERAGE(L$34:L$35)</f>
        <v>1.0399646188380474</v>
      </c>
      <c r="S33" s="173">
        <f>AVERAGE(M$34:M$35)</f>
        <v>40849502.549999997</v>
      </c>
      <c r="T33" s="174">
        <f>AVERAGE(N$34:N$35)</f>
        <v>19.901309047808486</v>
      </c>
      <c r="V33" s="114" t="s">
        <v>211</v>
      </c>
      <c r="W33" s="172">
        <f>MEDIAN(L$34:L$35)</f>
        <v>1.0399646188380474</v>
      </c>
      <c r="X33" s="173">
        <f>MEDIAN(M$34:M$35)</f>
        <v>40849502.549999997</v>
      </c>
      <c r="Y33" s="174">
        <f>MEDIAN(N$34:N$35)</f>
        <v>19.901309047808489</v>
      </c>
    </row>
    <row r="34" spans="3:25" x14ac:dyDescent="0.3">
      <c r="C34" s="159" t="s">
        <v>89</v>
      </c>
      <c r="D34" s="159">
        <v>37.54</v>
      </c>
      <c r="E34" s="159">
        <v>1116379</v>
      </c>
      <c r="F34" s="159">
        <v>13410843</v>
      </c>
      <c r="G34" s="159">
        <v>4837001</v>
      </c>
      <c r="H34" s="159">
        <v>1.1850000000000001</v>
      </c>
      <c r="I34" s="159">
        <v>0.38500000000000001</v>
      </c>
      <c r="J34" s="160">
        <f>$F34/($D34*$E34)</f>
        <v>0.32000012762931329</v>
      </c>
      <c r="K34" s="159" t="s">
        <v>80</v>
      </c>
      <c r="L34" s="164">
        <v>0.99014030939328168</v>
      </c>
      <c r="M34" s="168">
        <f>(COMPS!$D15*COMPS!$E15)+COMPS!$F15</f>
        <v>55319710.659999996</v>
      </c>
      <c r="N34" s="169">
        <f>$M34/$G34</f>
        <v>11.436778834653952</v>
      </c>
    </row>
    <row r="35" spans="3:25" x14ac:dyDescent="0.3">
      <c r="C35" s="159" t="s">
        <v>90</v>
      </c>
      <c r="D35" s="159">
        <v>12.12</v>
      </c>
      <c r="E35" s="159">
        <v>1943312</v>
      </c>
      <c r="F35" s="159">
        <v>2826353</v>
      </c>
      <c r="G35" s="159">
        <v>929967</v>
      </c>
      <c r="H35" s="159">
        <v>1.171</v>
      </c>
      <c r="I35" s="159">
        <v>0.379</v>
      </c>
      <c r="J35" s="160">
        <f>$F35/($D35*$E35)</f>
        <v>0.12000000115484516</v>
      </c>
      <c r="K35" s="159" t="s">
        <v>84</v>
      </c>
      <c r="L35" s="164">
        <v>1.089788928282813</v>
      </c>
      <c r="M35" s="168">
        <f>(COMPS!$D16*COMPS!$E16)+COMPS!$F16</f>
        <v>26379294.439999998</v>
      </c>
      <c r="N35" s="169">
        <f>$M35/$G35</f>
        <v>28.365839260963021</v>
      </c>
      <c r="W35" s="51"/>
      <c r="X35" s="51"/>
    </row>
    <row r="36" spans="3:25" x14ac:dyDescent="0.3">
      <c r="C36" s="51"/>
      <c r="D36" s="51"/>
      <c r="E36" s="118"/>
      <c r="F36" s="51"/>
      <c r="G36" s="118"/>
      <c r="H36" s="119"/>
      <c r="I36" s="51"/>
      <c r="J36" s="120"/>
      <c r="K36" s="51"/>
      <c r="L36" s="51"/>
      <c r="M36" s="107"/>
      <c r="P36" s="132"/>
      <c r="Q36" s="123" t="s">
        <v>245</v>
      </c>
      <c r="R36" s="123" t="s">
        <v>246</v>
      </c>
      <c r="S36" s="123" t="s">
        <v>247</v>
      </c>
      <c r="T36" s="123" t="s">
        <v>248</v>
      </c>
      <c r="U36" s="123" t="s">
        <v>249</v>
      </c>
      <c r="V36" s="123" t="s">
        <v>250</v>
      </c>
      <c r="W36" s="154" t="s">
        <v>251</v>
      </c>
      <c r="X36" s="154" t="s">
        <v>252</v>
      </c>
    </row>
    <row r="37" spans="3:25" x14ac:dyDescent="0.3">
      <c r="M37" s="107"/>
      <c r="P37" s="175">
        <f>X16</f>
        <v>33425559.206172459</v>
      </c>
      <c r="Q37" s="164">
        <f>AVERAGE(L$28, U32:V32)</f>
        <v>1.4791480433508288</v>
      </c>
      <c r="R37" s="164">
        <f>AVERAGE(L$25:L$27, L$29, L$34)</f>
        <v>1.2321018156448553</v>
      </c>
      <c r="S37" s="164">
        <f>AVERAGE(L$28, L$30:L$31)</f>
        <v>1.4997232691610574</v>
      </c>
      <c r="T37" s="164">
        <f>AVERAGE(L$35)</f>
        <v>1.089788928282813</v>
      </c>
      <c r="U37" s="164">
        <f>AVERAGE(L$25:L$27, L$29)</f>
        <v>1.2925921922077486</v>
      </c>
      <c r="V37" s="164">
        <f>AVERAGE(L$34)</f>
        <v>0.99014030939328168</v>
      </c>
      <c r="W37" s="176">
        <f>AVERAGE(L$25:L$31)</f>
        <v>1.3813626537591668</v>
      </c>
      <c r="X37" s="176">
        <f>AVERAGE(L$34:L$35)</f>
        <v>1.0399646188380474</v>
      </c>
    </row>
    <row r="38" spans="3:25" x14ac:dyDescent="0.3">
      <c r="P38" s="132">
        <f>P39-0.002</f>
        <v>3.4999999999999996E-2</v>
      </c>
      <c r="Q38" s="132">
        <f t="dataTable" ref="Q38:X44" dt2D="0" dtr="1" r1="P37"/>
        <v>3.4999999999999996E-2</v>
      </c>
      <c r="R38" s="132">
        <v>3.4999999999999996E-2</v>
      </c>
      <c r="S38" s="132">
        <v>3.4999999999999996E-2</v>
      </c>
      <c r="T38" s="132">
        <v>3.4999999999999996E-2</v>
      </c>
      <c r="U38" s="132">
        <v>3.4999999999999996E-2</v>
      </c>
      <c r="V38" s="132">
        <v>3.4999999999999996E-2</v>
      </c>
      <c r="W38" s="159">
        <v>3.4999999999999996E-2</v>
      </c>
      <c r="X38" s="159">
        <v>3.4999999999999996E-2</v>
      </c>
    </row>
    <row r="39" spans="3:25" x14ac:dyDescent="0.3">
      <c r="P39" s="132">
        <f>P40-0.002</f>
        <v>3.6999999999999998E-2</v>
      </c>
      <c r="Q39" s="132">
        <v>3.6999999999999998E-2</v>
      </c>
      <c r="R39" s="132">
        <v>3.6999999999999998E-2</v>
      </c>
      <c r="S39" s="132">
        <v>3.6999999999999998E-2</v>
      </c>
      <c r="T39" s="132">
        <v>3.6999999999999998E-2</v>
      </c>
      <c r="U39" s="132">
        <v>3.6999999999999998E-2</v>
      </c>
      <c r="V39" s="132">
        <v>3.6999999999999998E-2</v>
      </c>
      <c r="W39" s="159">
        <v>3.6999999999999998E-2</v>
      </c>
      <c r="X39" s="159">
        <v>3.6999999999999998E-2</v>
      </c>
    </row>
    <row r="40" spans="3:25" x14ac:dyDescent="0.3">
      <c r="P40" s="132">
        <f>P41-0.002</f>
        <v>3.9E-2</v>
      </c>
      <c r="Q40" s="132">
        <v>3.9E-2</v>
      </c>
      <c r="R40" s="132">
        <v>3.9E-2</v>
      </c>
      <c r="S40" s="132">
        <v>3.9E-2</v>
      </c>
      <c r="T40" s="132">
        <v>3.9E-2</v>
      </c>
      <c r="U40" s="132">
        <v>3.9E-2</v>
      </c>
      <c r="V40" s="132">
        <v>3.9E-2</v>
      </c>
      <c r="W40" s="159">
        <v>3.9E-2</v>
      </c>
      <c r="X40" s="159">
        <v>3.9E-2</v>
      </c>
    </row>
    <row r="41" spans="3:25" x14ac:dyDescent="0.3">
      <c r="P41" s="132">
        <v>4.1000000000000002E-2</v>
      </c>
      <c r="Q41" s="132">
        <v>4.1000000000000002E-2</v>
      </c>
      <c r="R41" s="132">
        <v>4.1000000000000002E-2</v>
      </c>
      <c r="S41" s="132">
        <v>4.1000000000000002E-2</v>
      </c>
      <c r="T41" s="132">
        <v>4.1000000000000002E-2</v>
      </c>
      <c r="U41" s="132">
        <v>4.1000000000000002E-2</v>
      </c>
      <c r="V41" s="132">
        <v>4.1000000000000002E-2</v>
      </c>
      <c r="W41" s="159">
        <v>4.1000000000000002E-2</v>
      </c>
      <c r="X41" s="159">
        <v>4.1000000000000002E-2</v>
      </c>
    </row>
    <row r="42" spans="3:25" x14ac:dyDescent="0.3">
      <c r="P42" s="132">
        <f>P41+0.002</f>
        <v>4.3000000000000003E-2</v>
      </c>
      <c r="Q42" s="132">
        <v>4.3000000000000003E-2</v>
      </c>
      <c r="R42" s="132">
        <v>4.3000000000000003E-2</v>
      </c>
      <c r="S42" s="132">
        <v>4.3000000000000003E-2</v>
      </c>
      <c r="T42" s="132">
        <v>4.3000000000000003E-2</v>
      </c>
      <c r="U42" s="132">
        <v>4.3000000000000003E-2</v>
      </c>
      <c r="V42" s="132">
        <v>4.3000000000000003E-2</v>
      </c>
      <c r="W42" s="159">
        <v>4.3000000000000003E-2</v>
      </c>
      <c r="X42" s="159">
        <v>4.3000000000000003E-2</v>
      </c>
    </row>
    <row r="43" spans="3:25" x14ac:dyDescent="0.3">
      <c r="P43" s="132">
        <f>P42+0.002</f>
        <v>4.5000000000000005E-2</v>
      </c>
      <c r="Q43" s="132">
        <v>4.5000000000000005E-2</v>
      </c>
      <c r="R43" s="132">
        <v>4.5000000000000005E-2</v>
      </c>
      <c r="S43" s="132">
        <v>4.5000000000000005E-2</v>
      </c>
      <c r="T43" s="132">
        <v>4.5000000000000005E-2</v>
      </c>
      <c r="U43" s="132">
        <v>4.5000000000000005E-2</v>
      </c>
      <c r="V43" s="132">
        <v>4.5000000000000005E-2</v>
      </c>
      <c r="W43" s="159">
        <v>4.5000000000000005E-2</v>
      </c>
      <c r="X43" s="159">
        <v>4.5000000000000005E-2</v>
      </c>
    </row>
    <row r="44" spans="3:25" x14ac:dyDescent="0.3">
      <c r="P44" s="132">
        <f>P43+0.002</f>
        <v>4.7000000000000007E-2</v>
      </c>
      <c r="Q44" s="132">
        <v>4.7000000000000007E-2</v>
      </c>
      <c r="R44" s="132">
        <v>4.7000000000000007E-2</v>
      </c>
      <c r="S44" s="132">
        <v>4.7000000000000007E-2</v>
      </c>
      <c r="T44" s="132">
        <v>4.7000000000000007E-2</v>
      </c>
      <c r="U44" s="132">
        <v>4.7000000000000007E-2</v>
      </c>
      <c r="V44" s="132">
        <v>4.7000000000000007E-2</v>
      </c>
      <c r="W44" s="159">
        <v>4.7000000000000007E-2</v>
      </c>
      <c r="X44" s="159">
        <v>4.7000000000000007E-2</v>
      </c>
    </row>
    <row r="45" spans="3:25" x14ac:dyDescent="0.3">
      <c r="J45" s="105"/>
    </row>
    <row r="46" spans="3:25" x14ac:dyDescent="0.3">
      <c r="D46" s="108"/>
      <c r="E46" s="108"/>
      <c r="F46" s="108"/>
      <c r="G46" s="108"/>
      <c r="H46" s="108"/>
    </row>
    <row r="47" spans="3:25" ht="15.5" x14ac:dyDescent="0.35">
      <c r="D47" s="116"/>
    </row>
    <row r="54" spans="2:2" x14ac:dyDescent="0.3">
      <c r="B54" s="51"/>
    </row>
  </sheetData>
  <mergeCells count="5">
    <mergeCell ref="W3:AA3"/>
    <mergeCell ref="AC6:AC7"/>
    <mergeCell ref="Q24:T24"/>
    <mergeCell ref="I14:J14"/>
    <mergeCell ref="V24:Y2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-0.249977111117893"/>
  </sheetPr>
  <dimension ref="A1:M47"/>
  <sheetViews>
    <sheetView showGridLines="0" topLeftCell="A5" zoomScale="71" workbookViewId="0">
      <selection activeCell="B25" sqref="B25"/>
    </sheetView>
  </sheetViews>
  <sheetFormatPr defaultColWidth="9.1796875" defaultRowHeight="14" x14ac:dyDescent="0.3"/>
  <cols>
    <col min="1" max="1" width="1.453125" style="13" customWidth="1"/>
    <col min="2" max="2" width="36.453125" style="13" bestFit="1" customWidth="1"/>
    <col min="3" max="5" width="18.1796875" style="13" customWidth="1"/>
    <col min="6" max="6" width="12.1796875" style="13" bestFit="1" customWidth="1"/>
    <col min="7" max="9" width="18.1796875" style="13" customWidth="1"/>
    <col min="10" max="10" width="12.08984375" style="13" bestFit="1" customWidth="1"/>
    <col min="11" max="13" width="18.1796875" style="13" customWidth="1"/>
    <col min="14" max="16384" width="9.1796875" style="13"/>
  </cols>
  <sheetData>
    <row r="1" spans="1:13" x14ac:dyDescent="0.3">
      <c r="A1" s="23" t="s">
        <v>212</v>
      </c>
    </row>
    <row r="2" spans="1:13" x14ac:dyDescent="0.3">
      <c r="A2" s="23"/>
      <c r="B2" s="35" t="s">
        <v>213</v>
      </c>
      <c r="C2" s="47" t="s">
        <v>214</v>
      </c>
      <c r="D2" s="47" t="s">
        <v>215</v>
      </c>
      <c r="E2" s="47" t="s">
        <v>216</v>
      </c>
      <c r="G2" s="47" t="s">
        <v>214</v>
      </c>
      <c r="H2" s="47" t="s">
        <v>215</v>
      </c>
      <c r="I2" s="47" t="s">
        <v>216</v>
      </c>
      <c r="K2" s="47" t="s">
        <v>214</v>
      </c>
      <c r="L2" s="47" t="s">
        <v>215</v>
      </c>
      <c r="M2" s="47" t="s">
        <v>216</v>
      </c>
    </row>
    <row r="3" spans="1:13" x14ac:dyDescent="0.3">
      <c r="G3" s="190" t="s">
        <v>217</v>
      </c>
      <c r="H3" s="190"/>
      <c r="I3" s="190"/>
      <c r="J3" s="51"/>
      <c r="K3" s="190" t="s">
        <v>218</v>
      </c>
      <c r="L3" s="190"/>
      <c r="M3" s="190"/>
    </row>
    <row r="4" spans="1:13" x14ac:dyDescent="0.3">
      <c r="B4" s="13" t="s">
        <v>219</v>
      </c>
      <c r="C4" s="49">
        <f>D4*(1-0.1)</f>
        <v>29574984.928519949</v>
      </c>
      <c r="D4" s="98">
        <f>'DCF Growth'!X16</f>
        <v>32861094.365022164</v>
      </c>
      <c r="E4" s="50">
        <f>D4*(1+0.1)</f>
        <v>36147203.801524386</v>
      </c>
      <c r="G4" s="70">
        <f>H4*(1-0.1)</f>
        <v>7.8365342205314183</v>
      </c>
      <c r="H4" s="71">
        <f>'DCF Growth'!AC10/'DCF Multiple'!D14</f>
        <v>8.7072602450349095</v>
      </c>
      <c r="I4" s="72">
        <f>H4*(1+0.1)</f>
        <v>9.5779862695384015</v>
      </c>
      <c r="J4" s="76"/>
      <c r="K4" s="70">
        <f>L4*(1-0.1)</f>
        <v>21.627085735770656</v>
      </c>
      <c r="L4" s="71">
        <f>D4/'DCF Multiple'!D15</f>
        <v>24.030095261967396</v>
      </c>
      <c r="M4" s="72">
        <f>L4*(1+0.1)</f>
        <v>26.433104788164137</v>
      </c>
    </row>
    <row r="5" spans="1:13" s="51" customFormat="1" ht="7.5" customHeight="1" x14ac:dyDescent="0.3">
      <c r="C5" s="52"/>
      <c r="D5" s="52"/>
      <c r="E5" s="52"/>
      <c r="G5" s="64"/>
      <c r="H5" s="64"/>
      <c r="I5" s="64"/>
      <c r="J5" s="65"/>
      <c r="K5" s="64"/>
      <c r="L5" s="64"/>
      <c r="M5" s="64"/>
    </row>
    <row r="6" spans="1:13" x14ac:dyDescent="0.3">
      <c r="C6" s="48"/>
      <c r="D6" s="48"/>
      <c r="E6" s="48"/>
      <c r="G6" s="191" t="s">
        <v>220</v>
      </c>
      <c r="H6" s="191"/>
      <c r="I6" s="191"/>
      <c r="J6" s="65"/>
      <c r="K6" s="190" t="s">
        <v>218</v>
      </c>
      <c r="L6" s="190"/>
      <c r="M6" s="190"/>
    </row>
    <row r="7" spans="1:13" x14ac:dyDescent="0.3">
      <c r="B7" s="13" t="s">
        <v>221</v>
      </c>
      <c r="C7" s="49">
        <f>D7*(1-0.1)</f>
        <v>30083003.285555214</v>
      </c>
      <c r="D7" s="99">
        <f>'DCF Multiple'!X16</f>
        <v>33425559.206172459</v>
      </c>
      <c r="E7" s="50">
        <f>D7*(1+0.1)</f>
        <v>36768115.126789704</v>
      </c>
      <c r="G7" s="73">
        <f>H7*(1-0.1)</f>
        <v>3.6900000000000002E-2</v>
      </c>
      <c r="H7" s="74">
        <f>'DCF Growth'!C13</f>
        <v>4.1000000000000002E-2</v>
      </c>
      <c r="I7" s="75">
        <f>H7*(1+0.1)</f>
        <v>4.5100000000000008E-2</v>
      </c>
      <c r="J7" s="76"/>
      <c r="K7" s="70">
        <f>L7*(1-0.1)</f>
        <v>21.998580652488332</v>
      </c>
      <c r="L7" s="71">
        <f>D7/'DCF Multiple'!D15</f>
        <v>24.442867391653703</v>
      </c>
      <c r="M7" s="72">
        <f>L7*(1+0.1)</f>
        <v>26.887154130819077</v>
      </c>
    </row>
    <row r="8" spans="1:13" s="51" customFormat="1" ht="7.5" customHeight="1" x14ac:dyDescent="0.3">
      <c r="C8" s="52"/>
      <c r="D8" s="52"/>
      <c r="E8" s="52"/>
      <c r="G8" s="64"/>
      <c r="H8" s="64"/>
      <c r="I8" s="64"/>
      <c r="J8" s="65"/>
      <c r="K8" s="64"/>
      <c r="L8" s="64"/>
      <c r="M8" s="64"/>
    </row>
    <row r="9" spans="1:13" x14ac:dyDescent="0.3">
      <c r="C9" s="48"/>
      <c r="D9" s="48"/>
      <c r="E9" s="48"/>
      <c r="G9" s="66"/>
      <c r="H9" s="66"/>
      <c r="I9" s="66"/>
      <c r="J9" s="35"/>
      <c r="K9" s="190" t="s">
        <v>218</v>
      </c>
      <c r="L9" s="190"/>
      <c r="M9" s="190"/>
    </row>
    <row r="10" spans="1:13" x14ac:dyDescent="0.3">
      <c r="B10" s="13" t="s">
        <v>222</v>
      </c>
      <c r="C10" s="62">
        <f>D10*(1-0.1)</f>
        <v>29287215.312200014</v>
      </c>
      <c r="D10" s="99">
        <f>'DCF Multiple'!J15</f>
        <v>32541350.346888904</v>
      </c>
      <c r="E10" s="63">
        <f>D10*(1+0.1)</f>
        <v>35795485.381577797</v>
      </c>
      <c r="G10" s="35"/>
      <c r="H10" s="35"/>
      <c r="I10" s="35"/>
      <c r="J10" s="35"/>
      <c r="K10" s="70">
        <f>L10*(1-0.1)</f>
        <v>21.41665052576656</v>
      </c>
      <c r="L10" s="71">
        <f>D10/'DCF Multiple'!D15</f>
        <v>23.796278361962845</v>
      </c>
      <c r="M10" s="72">
        <f>L10*(1+0.1)</f>
        <v>26.175906198159129</v>
      </c>
    </row>
    <row r="11" spans="1:13" s="51" customFormat="1" ht="7.5" customHeight="1" x14ac:dyDescent="0.3">
      <c r="B11" s="55"/>
      <c r="C11" s="56"/>
      <c r="D11" s="56"/>
      <c r="E11" s="56"/>
      <c r="F11" s="55"/>
      <c r="G11" s="67"/>
      <c r="H11" s="67"/>
      <c r="I11" s="67"/>
      <c r="J11" s="67"/>
      <c r="K11" s="68"/>
      <c r="L11" s="68"/>
      <c r="M11" s="68"/>
    </row>
    <row r="12" spans="1:13" x14ac:dyDescent="0.3">
      <c r="B12" s="57"/>
      <c r="C12" s="59"/>
      <c r="D12" s="59"/>
      <c r="E12" s="59"/>
      <c r="F12" s="59"/>
      <c r="G12" s="69"/>
      <c r="H12" s="69"/>
      <c r="I12" s="69"/>
      <c r="J12" s="69"/>
      <c r="K12" s="189" t="s">
        <v>218</v>
      </c>
      <c r="L12" s="189"/>
      <c r="M12" s="189"/>
    </row>
    <row r="13" spans="1:13" ht="14.5" thickBot="1" x14ac:dyDescent="0.35">
      <c r="B13" s="77" t="s">
        <v>223</v>
      </c>
      <c r="C13" s="60">
        <f>D13*(1-0.1)</f>
        <v>29648401.175425056</v>
      </c>
      <c r="D13" s="100">
        <f>(D4+D7+D10)/3</f>
        <v>32942667.972694505</v>
      </c>
      <c r="E13" s="61">
        <f>D13*(1+0.1)</f>
        <v>36236934.769963957</v>
      </c>
      <c r="F13" s="59"/>
      <c r="G13" s="69"/>
      <c r="H13" s="69"/>
      <c r="I13" s="69"/>
      <c r="J13" s="69"/>
      <c r="K13" s="70">
        <f>L13*(1-0.1)</f>
        <v>21.68077230467518</v>
      </c>
      <c r="L13" s="71">
        <f>D13/'DCF Multiple'!D15</f>
        <v>24.089747005194646</v>
      </c>
      <c r="M13" s="72">
        <f>L13*(1+0.1)</f>
        <v>26.498721705714111</v>
      </c>
    </row>
    <row r="14" spans="1:13" ht="7.5" customHeight="1" thickTop="1" x14ac:dyDescent="0.3"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</row>
    <row r="16" spans="1:13" x14ac:dyDescent="0.3">
      <c r="B16" s="35" t="s">
        <v>255</v>
      </c>
    </row>
    <row r="17" spans="2:13" x14ac:dyDescent="0.3">
      <c r="B17" s="35" t="s">
        <v>256</v>
      </c>
    </row>
    <row r="18" spans="2:13" x14ac:dyDescent="0.3">
      <c r="G18" s="51"/>
      <c r="H18" s="51"/>
      <c r="I18" s="51"/>
      <c r="J18" s="51"/>
      <c r="K18" s="51"/>
      <c r="L18" s="51"/>
    </row>
    <row r="19" spans="2:13" x14ac:dyDescent="0.3">
      <c r="B19" s="13" t="s">
        <v>224</v>
      </c>
      <c r="C19" s="78">
        <v>4389726</v>
      </c>
      <c r="G19" s="53"/>
      <c r="H19" s="51"/>
      <c r="I19" s="51"/>
      <c r="J19" s="51"/>
      <c r="K19" s="53"/>
      <c r="L19" s="51"/>
    </row>
    <row r="20" spans="2:13" x14ac:dyDescent="0.3">
      <c r="G20" s="51"/>
      <c r="H20" s="51"/>
      <c r="I20" s="51"/>
      <c r="J20" s="51"/>
      <c r="K20" s="51"/>
      <c r="L20" s="51"/>
      <c r="M20" s="51"/>
    </row>
    <row r="21" spans="2:13" x14ac:dyDescent="0.3">
      <c r="C21" s="47" t="s">
        <v>214</v>
      </c>
      <c r="D21" s="47" t="s">
        <v>215</v>
      </c>
      <c r="E21" s="47" t="s">
        <v>216</v>
      </c>
      <c r="G21" s="54"/>
      <c r="H21" s="54"/>
      <c r="I21" s="54"/>
      <c r="J21" s="51"/>
      <c r="K21" s="54"/>
      <c r="L21" s="54"/>
      <c r="M21" s="54"/>
    </row>
    <row r="22" spans="2:13" ht="14.5" thickBot="1" x14ac:dyDescent="0.35">
      <c r="B22" s="13" t="s">
        <v>225</v>
      </c>
      <c r="C22" s="60">
        <f>D22*(1-0.2)</f>
        <v>6.0035943879311837</v>
      </c>
      <c r="D22" s="100">
        <f>D13/C19</f>
        <v>7.5044929849139796</v>
      </c>
      <c r="E22" s="61">
        <f>D22*(1+0.2)</f>
        <v>9.0053915818967756</v>
      </c>
      <c r="G22" s="52"/>
      <c r="H22" s="52"/>
      <c r="I22" s="52"/>
      <c r="J22" s="51"/>
      <c r="K22" s="52"/>
      <c r="L22" s="52"/>
      <c r="M22" s="52"/>
    </row>
    <row r="23" spans="2:13" ht="14.5" thickTop="1" x14ac:dyDescent="0.3">
      <c r="G23" s="51"/>
      <c r="H23" s="51"/>
      <c r="I23" s="51"/>
      <c r="J23" s="51"/>
      <c r="K23" s="51"/>
      <c r="L23" s="51"/>
      <c r="M23" s="51"/>
    </row>
    <row r="24" spans="2:13" x14ac:dyDescent="0.3">
      <c r="B24" s="35" t="s">
        <v>257</v>
      </c>
    </row>
    <row r="27" spans="2:13" ht="14.15" customHeight="1" x14ac:dyDescent="0.3">
      <c r="B27" s="188"/>
      <c r="C27" s="188"/>
      <c r="D27" s="188"/>
      <c r="E27" s="188"/>
      <c r="F27" s="188"/>
      <c r="G27" s="188"/>
    </row>
    <row r="30" spans="2:13" ht="14.15" customHeight="1" x14ac:dyDescent="0.3">
      <c r="D30" s="183" t="s">
        <v>226</v>
      </c>
      <c r="E30" s="183"/>
      <c r="F30" s="183"/>
      <c r="G30" s="183"/>
      <c r="H30" s="183"/>
      <c r="I30" s="183"/>
    </row>
    <row r="31" spans="2:13" x14ac:dyDescent="0.3">
      <c r="D31" s="109">
        <v>32861094.365022164</v>
      </c>
      <c r="E31" s="112">
        <v>3.6999999999999998E-2</v>
      </c>
      <c r="F31" s="112">
        <v>3.9E-2</v>
      </c>
      <c r="G31" s="112">
        <v>4.1000000000000002E-2</v>
      </c>
      <c r="H31" s="112">
        <v>4.3000000000000003E-2</v>
      </c>
      <c r="I31" s="112">
        <v>4.5000000000000005E-2</v>
      </c>
    </row>
    <row r="32" spans="2:13" x14ac:dyDescent="0.3">
      <c r="D32" s="122">
        <v>9.71943023753465E-2</v>
      </c>
      <c r="E32" s="121">
        <v>9.71943023753465E-2</v>
      </c>
      <c r="F32" s="121">
        <v>9.71943023753465E-2</v>
      </c>
      <c r="G32" s="121">
        <v>9.71943023753465E-2</v>
      </c>
      <c r="H32" s="121">
        <v>9.71943023753465E-2</v>
      </c>
      <c r="I32" s="121">
        <v>9.71943023753465E-2</v>
      </c>
    </row>
    <row r="33" spans="4:12" x14ac:dyDescent="0.3">
      <c r="D33" s="122">
        <v>9.8194302375346501E-2</v>
      </c>
      <c r="E33" s="121">
        <v>9.8194302375346501E-2</v>
      </c>
      <c r="F33" s="121">
        <v>9.8194302375346501E-2</v>
      </c>
      <c r="G33" s="121">
        <v>9.8194302375346501E-2</v>
      </c>
      <c r="H33" s="121">
        <v>9.8194302375346501E-2</v>
      </c>
      <c r="I33" s="121">
        <v>9.8194302375346501E-2</v>
      </c>
    </row>
    <row r="34" spans="4:12" x14ac:dyDescent="0.3">
      <c r="D34" s="122">
        <v>9.9194302375346502E-2</v>
      </c>
      <c r="E34" s="121">
        <v>9.9194302375346502E-2</v>
      </c>
      <c r="F34" s="121">
        <v>9.9194302375346502E-2</v>
      </c>
      <c r="G34" s="121">
        <v>9.9194302375346502E-2</v>
      </c>
      <c r="H34" s="121">
        <v>9.9194302375346502E-2</v>
      </c>
      <c r="I34" s="121">
        <v>9.9194302375346502E-2</v>
      </c>
    </row>
    <row r="35" spans="4:12" x14ac:dyDescent="0.3">
      <c r="D35" s="122">
        <v>0.1001943023753465</v>
      </c>
      <c r="E35" s="121">
        <v>0.1001943023753465</v>
      </c>
      <c r="F35" s="121">
        <v>0.1001943023753465</v>
      </c>
      <c r="G35" s="121">
        <v>0.1001943023753465</v>
      </c>
      <c r="H35" s="121">
        <v>0.1001943023753465</v>
      </c>
      <c r="I35" s="121">
        <v>0.1001943023753465</v>
      </c>
    </row>
    <row r="36" spans="4:12" x14ac:dyDescent="0.3">
      <c r="D36" s="122">
        <v>0.1011943023753465</v>
      </c>
      <c r="E36" s="121">
        <v>0.1011943023753465</v>
      </c>
      <c r="F36" s="121">
        <v>0.1011943023753465</v>
      </c>
      <c r="G36" s="121">
        <v>0.1011943023753465</v>
      </c>
      <c r="H36" s="121">
        <v>0.1011943023753465</v>
      </c>
      <c r="I36" s="121">
        <v>0.1011943023753465</v>
      </c>
    </row>
    <row r="39" spans="4:12" x14ac:dyDescent="0.3">
      <c r="D39" s="187" t="s">
        <v>227</v>
      </c>
      <c r="E39" s="187"/>
      <c r="F39" s="187"/>
      <c r="G39" s="187"/>
      <c r="H39" s="187"/>
      <c r="I39" s="187"/>
      <c r="J39" s="187"/>
      <c r="K39" s="187"/>
      <c r="L39" s="187"/>
    </row>
    <row r="40" spans="4:12" x14ac:dyDescent="0.3">
      <c r="D40" s="109">
        <v>33425559.206172459</v>
      </c>
      <c r="E40" s="112">
        <v>1.4791480433508288</v>
      </c>
      <c r="F40" s="112">
        <v>1.2321018156448553</v>
      </c>
      <c r="G40" s="112">
        <v>1.4997232691610574</v>
      </c>
      <c r="H40" s="112">
        <v>1.089788928282813</v>
      </c>
      <c r="I40" s="112">
        <v>1.2925921922077486</v>
      </c>
      <c r="J40" s="112">
        <v>0.99014030939328168</v>
      </c>
      <c r="K40" s="112">
        <v>1.3813626537591668</v>
      </c>
      <c r="L40" s="112">
        <v>1.0399646188380474</v>
      </c>
    </row>
    <row r="41" spans="4:12" x14ac:dyDescent="0.3">
      <c r="D41" s="122">
        <v>3.4999999999999996E-2</v>
      </c>
      <c r="E41" s="121">
        <v>3.4999999999999996E-2</v>
      </c>
      <c r="F41" s="121">
        <v>3.4999999999999996E-2</v>
      </c>
      <c r="G41" s="121">
        <v>3.4999999999999996E-2</v>
      </c>
      <c r="H41" s="121">
        <v>3.4999999999999996E-2</v>
      </c>
      <c r="I41" s="121">
        <v>3.4999999999999996E-2</v>
      </c>
      <c r="J41" s="121">
        <v>3.4999999999999996E-2</v>
      </c>
      <c r="K41" s="121">
        <v>3.4999999999999996E-2</v>
      </c>
      <c r="L41" s="121">
        <v>3.4999999999999996E-2</v>
      </c>
    </row>
    <row r="42" spans="4:12" x14ac:dyDescent="0.3">
      <c r="D42" s="122">
        <v>3.6999999999999998E-2</v>
      </c>
      <c r="E42" s="121">
        <v>3.6999999999999998E-2</v>
      </c>
      <c r="F42" s="121">
        <v>3.6999999999999998E-2</v>
      </c>
      <c r="G42" s="121">
        <v>3.6999999999999998E-2</v>
      </c>
      <c r="H42" s="121">
        <v>3.6999999999999998E-2</v>
      </c>
      <c r="I42" s="121">
        <v>3.6999999999999998E-2</v>
      </c>
      <c r="J42" s="121">
        <v>3.6999999999999998E-2</v>
      </c>
      <c r="K42" s="121">
        <v>3.6999999999999998E-2</v>
      </c>
      <c r="L42" s="121">
        <v>3.6999999999999998E-2</v>
      </c>
    </row>
    <row r="43" spans="4:12" x14ac:dyDescent="0.3">
      <c r="D43" s="122">
        <v>3.9E-2</v>
      </c>
      <c r="E43" s="121">
        <v>3.9E-2</v>
      </c>
      <c r="F43" s="121">
        <v>3.9E-2</v>
      </c>
      <c r="G43" s="121">
        <v>3.9E-2</v>
      </c>
      <c r="H43" s="121">
        <v>3.9E-2</v>
      </c>
      <c r="I43" s="121">
        <v>3.9E-2</v>
      </c>
      <c r="J43" s="121">
        <v>3.9E-2</v>
      </c>
      <c r="K43" s="121">
        <v>3.9E-2</v>
      </c>
      <c r="L43" s="121">
        <v>3.9E-2</v>
      </c>
    </row>
    <row r="44" spans="4:12" x14ac:dyDescent="0.3">
      <c r="D44" s="122">
        <v>4.1000000000000002E-2</v>
      </c>
      <c r="E44" s="121">
        <v>4.1000000000000002E-2</v>
      </c>
      <c r="F44" s="121">
        <v>4.1000000000000002E-2</v>
      </c>
      <c r="G44" s="121">
        <v>4.1000000000000002E-2</v>
      </c>
      <c r="H44" s="121">
        <v>4.1000000000000002E-2</v>
      </c>
      <c r="I44" s="121">
        <v>4.1000000000000002E-2</v>
      </c>
      <c r="J44" s="121">
        <v>4.1000000000000002E-2</v>
      </c>
      <c r="K44" s="121">
        <v>4.1000000000000002E-2</v>
      </c>
      <c r="L44" s="121">
        <v>4.1000000000000002E-2</v>
      </c>
    </row>
    <row r="45" spans="4:12" x14ac:dyDescent="0.3">
      <c r="D45" s="122">
        <v>4.3000000000000003E-2</v>
      </c>
      <c r="E45" s="121">
        <v>4.3000000000000003E-2</v>
      </c>
      <c r="F45" s="121">
        <v>4.3000000000000003E-2</v>
      </c>
      <c r="G45" s="121">
        <v>4.3000000000000003E-2</v>
      </c>
      <c r="H45" s="121">
        <v>4.3000000000000003E-2</v>
      </c>
      <c r="I45" s="121">
        <v>4.3000000000000003E-2</v>
      </c>
      <c r="J45" s="121">
        <v>4.3000000000000003E-2</v>
      </c>
      <c r="K45" s="121">
        <v>4.3000000000000003E-2</v>
      </c>
      <c r="L45" s="121">
        <v>4.3000000000000003E-2</v>
      </c>
    </row>
    <row r="46" spans="4:12" x14ac:dyDescent="0.3">
      <c r="D46" s="122">
        <v>4.5000000000000005E-2</v>
      </c>
      <c r="E46" s="121">
        <v>4.5000000000000005E-2</v>
      </c>
      <c r="F46" s="121">
        <v>4.5000000000000005E-2</v>
      </c>
      <c r="G46" s="121">
        <v>4.5000000000000005E-2</v>
      </c>
      <c r="H46" s="121">
        <v>4.5000000000000005E-2</v>
      </c>
      <c r="I46" s="121">
        <v>4.5000000000000005E-2</v>
      </c>
      <c r="J46" s="121">
        <v>4.5000000000000005E-2</v>
      </c>
      <c r="K46" s="121">
        <v>4.5000000000000005E-2</v>
      </c>
      <c r="L46" s="121">
        <v>4.5000000000000005E-2</v>
      </c>
    </row>
    <row r="47" spans="4:12" x14ac:dyDescent="0.3">
      <c r="D47" s="122">
        <v>4.7000000000000007E-2</v>
      </c>
      <c r="E47" s="121">
        <v>4.7000000000000007E-2</v>
      </c>
      <c r="F47" s="121">
        <v>4.7000000000000007E-2</v>
      </c>
      <c r="G47" s="121">
        <v>4.7000000000000007E-2</v>
      </c>
      <c r="H47" s="121">
        <v>4.7000000000000007E-2</v>
      </c>
      <c r="I47" s="121">
        <v>4.7000000000000007E-2</v>
      </c>
      <c r="J47" s="121">
        <v>4.7000000000000007E-2</v>
      </c>
      <c r="K47" s="121">
        <v>4.7000000000000007E-2</v>
      </c>
      <c r="L47" s="121">
        <v>4.7000000000000007E-2</v>
      </c>
    </row>
  </sheetData>
  <mergeCells count="9">
    <mergeCell ref="D39:L39"/>
    <mergeCell ref="D30:I30"/>
    <mergeCell ref="B27:G27"/>
    <mergeCell ref="K12:M12"/>
    <mergeCell ref="G3:I3"/>
    <mergeCell ref="G6:I6"/>
    <mergeCell ref="K3:M3"/>
    <mergeCell ref="K6:M6"/>
    <mergeCell ref="K9:M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5352c20-af13-477a-af97-ebeda766895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B5D9EA6B2C944EB0B5408329551BDC" ma:contentTypeVersion="18" ma:contentTypeDescription="Create a new document." ma:contentTypeScope="" ma:versionID="c6be759af0727dbe508a9fd64b250b33">
  <xsd:schema xmlns:xsd="http://www.w3.org/2001/XMLSchema" xmlns:xs="http://www.w3.org/2001/XMLSchema" xmlns:p="http://schemas.microsoft.com/office/2006/metadata/properties" xmlns:ns3="d5352c20-af13-477a-af97-ebeda7668952" xmlns:ns4="abfaed3f-aea3-4edf-bbc4-ea4673709bd5" targetNamespace="http://schemas.microsoft.com/office/2006/metadata/properties" ma:root="true" ma:fieldsID="c16a93dfe2643b260fc0f0e783b88191" ns3:_="" ns4:_="">
    <xsd:import namespace="d5352c20-af13-477a-af97-ebeda7668952"/>
    <xsd:import namespace="abfaed3f-aea3-4edf-bbc4-ea4673709bd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52c20-af13-477a-af97-ebeda76689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faed3f-aea3-4edf-bbc4-ea4673709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9FDDA6-2282-4649-9ADC-761EA9A3DDA6}">
  <ds:schemaRefs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d5352c20-af13-477a-af97-ebeda7668952"/>
    <ds:schemaRef ds:uri="http://schemas.microsoft.com/office/infopath/2007/PartnerControls"/>
    <ds:schemaRef ds:uri="http://schemas.openxmlformats.org/package/2006/metadata/core-properties"/>
    <ds:schemaRef ds:uri="abfaed3f-aea3-4edf-bbc4-ea4673709bd5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BDACA13-F0F4-4FC7-AEAA-16A579A189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861558-6961-4834-B0A9-C4C3955D7D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352c20-af13-477a-af97-ebeda7668952"/>
    <ds:schemaRef ds:uri="abfaed3f-aea3-4edf-bbc4-ea4673709b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Assumptions</vt:lpstr>
      <vt:lpstr>COMPS</vt:lpstr>
      <vt:lpstr>Manufacturing</vt:lpstr>
      <vt:lpstr>Service</vt:lpstr>
      <vt:lpstr>Consolidated P&amp;L</vt:lpstr>
      <vt:lpstr>Consolidated BS</vt:lpstr>
      <vt:lpstr>Consolidated SCF</vt:lpstr>
      <vt:lpstr>DCF Growth</vt:lpstr>
      <vt:lpstr>DCF Multiple</vt:lpstr>
      <vt:lpstr>Valuation</vt:lpstr>
    </vt:vector>
  </TitlesOfParts>
  <Manager/>
  <Company>Penn State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Lunn</dc:creator>
  <cp:keywords/>
  <dc:description/>
  <cp:lastModifiedBy>Khan, Shifa Shahbaz</cp:lastModifiedBy>
  <cp:revision/>
  <dcterms:created xsi:type="dcterms:W3CDTF">2018-04-05T17:12:11Z</dcterms:created>
  <dcterms:modified xsi:type="dcterms:W3CDTF">2026-03-09T10:11:26Z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0x01010034B5D9EA6B2C944EB0B5408329551BDC</vt:lpwstr>
  </property>
</Properties>
</file>